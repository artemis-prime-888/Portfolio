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640a26e5ef3a99/Desktop/UTRGV/Courses/INFS 6333/Week 6/"/>
    </mc:Choice>
  </mc:AlternateContent>
  <xr:revisionPtr revIDLastSave="76" documentId="8_{5CCC0699-F37C-48DB-A67E-64ABC3588060}" xr6:coauthVersionLast="47" xr6:coauthVersionMax="47" xr10:uidLastSave="{3BA32F68-B331-4B56-A53C-9E4C52C2184D}"/>
  <bookViews>
    <workbookView xWindow="-110" yWindow="-110" windowWidth="19420" windowHeight="10300" tabRatio="734" firstSheet="1" activeTab="9" xr2:uid="{00000000-000D-0000-FFFF-FFFF00000000}"/>
  </bookViews>
  <sheets>
    <sheet name="Module1" sheetId="1" state="veryHidden" r:id=""/>
    <sheet name="Data" sheetId="2" r:id="rId1"/>
    <sheet name="Payoffs" sheetId="3" r:id="rId2"/>
    <sheet name="Maximax" sheetId="4" r:id="rId3"/>
    <sheet name="Maximin" sheetId="5" r:id="rId4"/>
    <sheet name="Minimax Regret" sheetId="6" r:id="rId5"/>
    <sheet name="Expected Value" sheetId="7" r:id="rId6"/>
    <sheet name="Expected Regret" sheetId="8" r:id="rId7"/>
    <sheet name="EMV Sensitivity" sheetId="10" r:id="rId8"/>
    <sheet name="EVPI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6" i="10" l="1"/>
  <c r="A17" i="10"/>
  <c r="A18" i="10" s="1"/>
  <c r="A19" i="10" s="1"/>
  <c r="A20" i="10" s="1"/>
  <c r="A21" i="10" s="1"/>
  <c r="A22" i="10" s="1"/>
  <c r="A23" i="10" s="1"/>
  <c r="A24" i="10" s="1"/>
  <c r="A15" i="10"/>
  <c r="D14" i="9"/>
  <c r="D12" i="9"/>
  <c r="C12" i="9"/>
  <c r="B12" i="9"/>
  <c r="E6" i="8"/>
  <c r="E7" i="8"/>
  <c r="E8" i="8"/>
  <c r="E5" i="8"/>
  <c r="D6" i="8"/>
  <c r="D7" i="8"/>
  <c r="D8" i="8"/>
  <c r="D5" i="8"/>
  <c r="E6" i="7"/>
  <c r="E7" i="7"/>
  <c r="E8" i="7"/>
  <c r="E5" i="7"/>
  <c r="D6" i="7"/>
  <c r="D7" i="7"/>
  <c r="D8" i="7"/>
  <c r="D5" i="7"/>
  <c r="E6" i="6"/>
  <c r="E7" i="6"/>
  <c r="E8" i="6"/>
  <c r="E5" i="6"/>
  <c r="D6" i="6"/>
  <c r="D7" i="6"/>
  <c r="D8" i="6"/>
  <c r="D5" i="6"/>
  <c r="C5" i="6"/>
  <c r="C6" i="6"/>
  <c r="C7" i="6"/>
  <c r="C8" i="6"/>
  <c r="B6" i="6"/>
  <c r="B7" i="6"/>
  <c r="B8" i="6"/>
  <c r="B5" i="6"/>
  <c r="E6" i="5"/>
  <c r="E7" i="5"/>
  <c r="E8" i="5"/>
  <c r="E5" i="5"/>
  <c r="D6" i="5"/>
  <c r="D7" i="5"/>
  <c r="D8" i="5"/>
  <c r="D5" i="5"/>
  <c r="E6" i="4"/>
  <c r="E7" i="4"/>
  <c r="E8" i="4"/>
  <c r="E5" i="4"/>
  <c r="D6" i="4"/>
  <c r="D7" i="4"/>
  <c r="D8" i="4"/>
  <c r="D5" i="4"/>
  <c r="C7" i="3"/>
  <c r="B7" i="3"/>
  <c r="C6" i="3"/>
  <c r="B6" i="3"/>
  <c r="B5" i="3"/>
  <c r="C5" i="3"/>
  <c r="C10" i="10"/>
  <c r="D6" i="10" s="1"/>
  <c r="C13" i="10" s="1"/>
  <c r="D7" i="10" l="1"/>
  <c r="D13" i="10" s="1"/>
  <c r="D5" i="10"/>
  <c r="B13" i="10" s="1"/>
  <c r="D8" i="10"/>
  <c r="E13" i="10" s="1"/>
  <c r="B6" i="10"/>
  <c r="C6" i="10"/>
  <c r="B7" i="10"/>
  <c r="C7" i="10"/>
  <c r="B8" i="10"/>
  <c r="C8" i="10"/>
  <c r="C5" i="10"/>
  <c r="B5" i="10"/>
  <c r="E6" i="9" l="1"/>
  <c r="E7" i="9"/>
  <c r="E8" i="9"/>
  <c r="E5" i="9"/>
  <c r="D8" i="9"/>
  <c r="D6" i="9"/>
  <c r="D7" i="9"/>
  <c r="D5" i="9"/>
  <c r="B6" i="8" l="1"/>
  <c r="C6" i="8"/>
  <c r="B7" i="8"/>
  <c r="C7" i="8"/>
  <c r="B8" i="8"/>
  <c r="C8" i="8"/>
  <c r="C5" i="8"/>
  <c r="B5" i="8"/>
  <c r="B8" i="7" l="1"/>
  <c r="B8" i="9" s="1"/>
  <c r="C8" i="7"/>
  <c r="C8" i="9" s="1"/>
  <c r="C7" i="7"/>
  <c r="C7" i="9" s="1"/>
  <c r="B7" i="7"/>
  <c r="B7" i="9" s="1"/>
  <c r="C6" i="7"/>
  <c r="C6" i="9" s="1"/>
  <c r="B6" i="7"/>
  <c r="B6" i="9" s="1"/>
  <c r="C5" i="7"/>
  <c r="C5" i="9" s="1"/>
  <c r="B5" i="7"/>
  <c r="B5" i="9" s="1"/>
  <c r="C8" i="5"/>
  <c r="B8" i="5"/>
  <c r="C7" i="5"/>
  <c r="B7" i="5"/>
  <c r="C6" i="5"/>
  <c r="B6" i="5"/>
  <c r="C5" i="5"/>
  <c r="B5" i="5"/>
  <c r="B6" i="4"/>
  <c r="C6" i="4"/>
  <c r="B7" i="4"/>
  <c r="C7" i="4"/>
  <c r="B8" i="4"/>
  <c r="C8" i="4"/>
  <c r="C5" i="4"/>
  <c r="B5" i="4"/>
  <c r="B10" i="8" l="1"/>
  <c r="C10" i="8" s="1"/>
  <c r="C10" i="7"/>
  <c r="C10" i="9" l="1"/>
  <c r="B10" i="9"/>
</calcChain>
</file>

<file path=xl/sharedStrings.xml><?xml version="1.0" encoding="utf-8"?>
<sst xmlns="http://schemas.openxmlformats.org/spreadsheetml/2006/main" count="102" uniqueCount="26">
  <si>
    <t>Parcel of Land Near Location</t>
  </si>
  <si>
    <t>A</t>
  </si>
  <si>
    <t>B</t>
  </si>
  <si>
    <t>Current purchase price</t>
  </si>
  <si>
    <t>Present value of future cash flows if hotel and airport are built at this location</t>
  </si>
  <si>
    <t xml:space="preserve">Present value of future sales price of parcel if the airport is not built at this location </t>
  </si>
  <si>
    <t>(Note: All values are in millions of dollars.)</t>
  </si>
  <si>
    <t>Land Purchased</t>
  </si>
  <si>
    <t>Airport is Built at Location</t>
  </si>
  <si>
    <t>at Location(s)</t>
  </si>
  <si>
    <t>A&amp;B</t>
  </si>
  <si>
    <t>None</t>
  </si>
  <si>
    <t>MAX</t>
  </si>
  <si>
    <t>MIN</t>
  </si>
  <si>
    <t>Max</t>
  </si>
  <si>
    <t>EMV</t>
  </si>
  <si>
    <t>Probability</t>
  </si>
  <si>
    <t>EOL</t>
  </si>
  <si>
    <t>Payoff of decision made with perfect information</t>
  </si>
  <si>
    <t>EVPI</t>
  </si>
  <si>
    <t>EMV A</t>
  </si>
  <si>
    <t>EMV B</t>
  </si>
  <si>
    <t>EMV A&amp;B</t>
  </si>
  <si>
    <t>EMV None</t>
  </si>
  <si>
    <t>Prob. of Location A</t>
  </si>
  <si>
    <t>Which?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</si>
</sst>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164" formatCode="&quot;$&quot;#,##0.0_);\(&quot;$&quot;#,##0.0\)"/>
    <numFmt numFmtId="165" formatCode="0.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5" fontId="0" fillId="0" borderId="0" xfId="0" applyNumberFormat="1" applyAlignment="1">
      <alignment horizontal="center"/>
    </xf>
    <xf numFmtId="5" fontId="1" fillId="0" borderId="0" xfId="0" applyNumberFormat="1" applyFont="1" applyAlignment="1">
      <alignment horizontal="centerContinuous"/>
    </xf>
    <xf numFmtId="5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Continuous"/>
    </xf>
    <xf numFmtId="0" fontId="0" fillId="0" borderId="0" xfId="0" quotePrefix="1"/>
    <xf numFmtId="0" fontId="0" fillId="0" borderId="0" xfId="0" applyAlignment="1">
      <alignment horizontal="right"/>
    </xf>
    <xf numFmtId="5" fontId="0" fillId="0" borderId="0" xfId="0" applyNumberFormat="1" applyAlignment="1">
      <alignment horizontal="center" vertical="center"/>
    </xf>
    <xf numFmtId="5" fontId="2" fillId="0" borderId="0" xfId="0" applyNumberFormat="1" applyFont="1" applyBorder="1" applyAlignment="1">
      <alignment horizontal="center"/>
    </xf>
    <xf numFmtId="5" fontId="0" fillId="0" borderId="0" xfId="0" applyNumberFormat="1" applyAlignment="1">
      <alignment horizontal="centerContinuous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65" fontId="0" fillId="0" borderId="0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5" fontId="2" fillId="0" borderId="1" xfId="0" applyNumberFormat="1" applyFont="1" applyBorder="1" applyAlignment="1">
      <alignment horizontal="center"/>
    </xf>
    <xf numFmtId="5" fontId="5" fillId="0" borderId="0" xfId="0" applyNumberFormat="1" applyFont="1" applyAlignment="1">
      <alignment horizontal="centerContinuous"/>
    </xf>
    <xf numFmtId="0" fontId="4" fillId="0" borderId="0" xfId="0" applyFont="1"/>
    <xf numFmtId="5" fontId="0" fillId="0" borderId="1" xfId="0" applyNumberFormat="1" applyBorder="1" applyAlignment="1">
      <alignment horizontal="center"/>
    </xf>
    <xf numFmtId="0" fontId="6" fillId="0" borderId="0" xfId="0" applyFont="1"/>
    <xf numFmtId="164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164" fontId="8" fillId="0" borderId="0" xfId="0" applyNumberFormat="1" applyFont="1"/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Continuous"/>
    </xf>
    <xf numFmtId="0" fontId="11" fillId="0" borderId="1" xfId="0" applyFont="1" applyBorder="1"/>
    <xf numFmtId="0" fontId="10" fillId="0" borderId="1" xfId="0" applyFont="1" applyBorder="1" applyAlignment="1">
      <alignment horizontal="center"/>
    </xf>
    <xf numFmtId="0" fontId="10" fillId="0" borderId="0" xfId="0" applyFont="1" applyBorder="1" applyAlignment="1">
      <alignment horizontal="left" vertical="center"/>
    </xf>
    <xf numFmtId="5" fontId="10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5" fontId="10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5" fontId="11" fillId="0" borderId="0" xfId="0" applyNumberFormat="1" applyFont="1" applyAlignment="1">
      <alignment horizontal="center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1" fillId="0" borderId="0" xfId="0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57195975503062"/>
          <c:y val="5.1400554097404488E-2"/>
          <c:w val="0.74515704286964135"/>
          <c:h val="0.82727981918926796"/>
        </c:manualLayout>
      </c:layout>
      <c:scatterChart>
        <c:scatterStyle val="lineMarker"/>
        <c:varyColors val="0"/>
        <c:ser>
          <c:idx val="0"/>
          <c:order val="0"/>
          <c:tx>
            <c:v>A</c:v>
          </c:tx>
          <c:xVal>
            <c:numRef>
              <c:f>'EMV Sensitivity'!$A$14:$A$24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'EMV Sensitivity'!$B$14:$B$24</c:f>
              <c:numCache>
                <c:formatCode>General</c:formatCode>
                <c:ptCount val="11"/>
                <c:pt idx="0">
                  <c:v>-12</c:v>
                </c:pt>
                <c:pt idx="1">
                  <c:v>-9.5</c:v>
                </c:pt>
                <c:pt idx="2">
                  <c:v>-7.0000000000000018</c:v>
                </c:pt>
                <c:pt idx="3">
                  <c:v>-4.4999999999999982</c:v>
                </c:pt>
                <c:pt idx="4">
                  <c:v>-1.9999999999999991</c:v>
                </c:pt>
                <c:pt idx="5">
                  <c:v>0.5</c:v>
                </c:pt>
                <c:pt idx="6">
                  <c:v>2.9999999999999991</c:v>
                </c:pt>
                <c:pt idx="7">
                  <c:v>5.4999999999999991</c:v>
                </c:pt>
                <c:pt idx="8">
                  <c:v>7.9999999999999982</c:v>
                </c:pt>
                <c:pt idx="9">
                  <c:v>10.499999999999998</c:v>
                </c:pt>
                <c:pt idx="10">
                  <c:v>12.999999999999998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F7-4304-AD63-796A678AECB1}"/>
            </c:ext>
          </c:extLst>
        </c:ser>
        <c:ser>
          <c:idx val="1"/>
          <c:order val="1"/>
          <c:tx>
            <c:v>B</c:v>
          </c:tx>
          <c:xVal>
            <c:numRef>
              <c:f>'EMV Sensitivity'!$A$14:$A$24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'EMV Sensitivity'!$C$14:$C$24</c:f>
              <c:numCache>
                <c:formatCode>General</c:formatCode>
                <c:ptCount val="11"/>
                <c:pt idx="0">
                  <c:v>11</c:v>
                </c:pt>
                <c:pt idx="1">
                  <c:v>9.1</c:v>
                </c:pt>
                <c:pt idx="2">
                  <c:v>7.2000000000000011</c:v>
                </c:pt>
                <c:pt idx="3">
                  <c:v>5.2999999999999989</c:v>
                </c:pt>
                <c:pt idx="4">
                  <c:v>3.3999999999999995</c:v>
                </c:pt>
                <c:pt idx="5">
                  <c:v>1.5</c:v>
                </c:pt>
                <c:pt idx="6">
                  <c:v>-0.39999999999999947</c:v>
                </c:pt>
                <c:pt idx="7">
                  <c:v>-2.2999999999999989</c:v>
                </c:pt>
                <c:pt idx="8">
                  <c:v>-4.1999999999999993</c:v>
                </c:pt>
                <c:pt idx="9">
                  <c:v>-6.0999999999999979</c:v>
                </c:pt>
                <c:pt idx="10">
                  <c:v>-7.9999999999999991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F7-4304-AD63-796A678AECB1}"/>
            </c:ext>
          </c:extLst>
        </c:ser>
        <c:ser>
          <c:idx val="2"/>
          <c:order val="2"/>
          <c:tx>
            <c:v>A &amp; B</c:v>
          </c:tx>
          <c:xVal>
            <c:numRef>
              <c:f>'EMV Sensitivity'!$A$14:$A$24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'EMV Sensitivity'!$D$14:$D$24</c:f>
              <c:numCache>
                <c:formatCode>General</c:formatCode>
                <c:ptCount val="11"/>
                <c:pt idx="0">
                  <c:v>-1</c:v>
                </c:pt>
                <c:pt idx="1">
                  <c:v>-0.4</c:v>
                </c:pt>
                <c:pt idx="2">
                  <c:v>0.19999999999999996</c:v>
                </c:pt>
                <c:pt idx="3">
                  <c:v>0.80000000000000027</c:v>
                </c:pt>
                <c:pt idx="4">
                  <c:v>1.4</c:v>
                </c:pt>
                <c:pt idx="5">
                  <c:v>2</c:v>
                </c:pt>
                <c:pt idx="6">
                  <c:v>2.6</c:v>
                </c:pt>
                <c:pt idx="7">
                  <c:v>3.2</c:v>
                </c:pt>
                <c:pt idx="8">
                  <c:v>3.7999999999999994</c:v>
                </c:pt>
                <c:pt idx="9">
                  <c:v>4.4000000000000004</c:v>
                </c:pt>
                <c:pt idx="10">
                  <c:v>4.9999999999999991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7-4304-AD63-796A678AECB1}"/>
            </c:ext>
          </c:extLst>
        </c:ser>
        <c:ser>
          <c:idx val="3"/>
          <c:order val="3"/>
          <c:tx>
            <c:v>None</c:v>
          </c:tx>
          <c:xVal>
            <c:numRef>
              <c:f>'EMV Sensitivity'!$A$14:$A$24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'EMV Sensitivity'!$E$14:$E$24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F7-4304-AD63-796A678AE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07776"/>
        <c:axId val="46708352"/>
      </c:scatterChart>
      <c:valAx>
        <c:axId val="4670777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 of Location A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6708352"/>
        <c:crosses val="autoZero"/>
        <c:crossBetween val="midCat"/>
      </c:valAx>
      <c:valAx>
        <c:axId val="46708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EMV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46707776"/>
        <c:crosses val="autoZero"/>
        <c:crossBetween val="midCat"/>
      </c:valAx>
      <c:spPr>
        <a:solidFill>
          <a:schemeClr val="bg1">
            <a:lumMod val="85000"/>
          </a:schemeClr>
        </a:solidFill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7154164005686507"/>
          <c:y val="0.67904414645124722"/>
          <c:w val="0.41879169751093936"/>
          <c:h val="0.14753274844188544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1</xdr:row>
      <xdr:rowOff>63211</xdr:rowOff>
    </xdr:from>
    <xdr:to>
      <xdr:col>3</xdr:col>
      <xdr:colOff>342900</xdr:colOff>
      <xdr:row>3</xdr:row>
      <xdr:rowOff>53686</xdr:rowOff>
    </xdr:to>
    <xdr:sp macro="[0]!Toggle" textlink="">
      <xdr:nvSpPr>
        <xdr:cNvPr id="1025" name="Text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Arrowheads="1"/>
        </xdr:cNvSpPr>
      </xdr:nvSpPr>
      <xdr:spPr bwMode="auto">
        <a:xfrm>
          <a:off x="1060739" y="227734"/>
          <a:ext cx="3525116" cy="440747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Real Estate Acquisition Analysis</a:t>
          </a:r>
        </a:p>
      </xdr:txBody>
    </xdr:sp>
    <xdr:clientData/>
  </xdr:twoCellAnchor>
  <xdr:twoCellAnchor>
    <xdr:from>
      <xdr:col>1</xdr:col>
      <xdr:colOff>304800</xdr:colOff>
      <xdr:row>13</xdr:row>
      <xdr:rowOff>95250</xdr:rowOff>
    </xdr:from>
    <xdr:to>
      <xdr:col>2</xdr:col>
      <xdr:colOff>895350</xdr:colOff>
      <xdr:row>16</xdr:row>
      <xdr:rowOff>38100</xdr:rowOff>
    </xdr:to>
    <xdr:sp macro="" textlink="">
      <xdr:nvSpPr>
        <xdr:cNvPr id="1026" name="NOTE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ChangeArrowheads="1"/>
        </xdr:cNvSpPr>
      </xdr:nvSpPr>
      <xdr:spPr bwMode="auto">
        <a:xfrm>
          <a:off x="647700" y="2971800"/>
          <a:ext cx="3286125" cy="428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This table simply summarizes the cash flows for each alternative parcel of land.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1123950</xdr:colOff>
      <xdr:row>0</xdr:row>
      <xdr:rowOff>57150</xdr:rowOff>
    </xdr:from>
    <xdr:to>
      <xdr:col>2</xdr:col>
      <xdr:colOff>762000</xdr:colOff>
      <xdr:row>1</xdr:row>
      <xdr:rowOff>133350</xdr:rowOff>
    </xdr:to>
    <xdr:sp macro="[0]!Toggle" textlink="">
      <xdr:nvSpPr>
        <xdr:cNvPr id="2050" name="Text 2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rrowheads="1"/>
        </xdr:cNvSpPr>
      </xdr:nvSpPr>
      <xdr:spPr bwMode="auto">
        <a:xfrm>
          <a:off x="1123950" y="57150"/>
          <a:ext cx="189547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</a:t>
          </a:r>
        </a:p>
      </xdr:txBody>
    </xdr:sp>
    <xdr:clientData/>
  </xdr:twoCellAnchor>
  <xdr:twoCellAnchor>
    <xdr:from>
      <xdr:col>0</xdr:col>
      <xdr:colOff>695325</xdr:colOff>
      <xdr:row>9</xdr:row>
      <xdr:rowOff>9525</xdr:rowOff>
    </xdr:from>
    <xdr:to>
      <xdr:col>3</xdr:col>
      <xdr:colOff>200025</xdr:colOff>
      <xdr:row>15</xdr:row>
      <xdr:rowOff>28575</xdr:rowOff>
    </xdr:to>
    <xdr:sp macro="" textlink="">
      <xdr:nvSpPr>
        <xdr:cNvPr id="2051" name="NOTE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 txBox="1">
          <a:spLocks noChangeArrowheads="1"/>
        </xdr:cNvSpPr>
      </xdr:nvSpPr>
      <xdr:spPr bwMode="auto">
        <a:xfrm>
          <a:off x="695325" y="1543050"/>
          <a:ext cx="2590800" cy="990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This table shows the net payoff received for each land purchase alternative given the two different states of nature (i.e., the airport being built at location A or B).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0</xdr:row>
      <xdr:rowOff>25977</xdr:rowOff>
    </xdr:from>
    <xdr:to>
      <xdr:col>3</xdr:col>
      <xdr:colOff>342900</xdr:colOff>
      <xdr:row>1</xdr:row>
      <xdr:rowOff>233795</xdr:rowOff>
    </xdr:to>
    <xdr:sp macro="[0]!Toggle" textlink="">
      <xdr:nvSpPr>
        <xdr:cNvPr id="3073" name="Tex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>
          <a:spLocks noChangeArrowheads="1"/>
        </xdr:cNvSpPr>
      </xdr:nvSpPr>
      <xdr:spPr bwMode="auto">
        <a:xfrm>
          <a:off x="1104900" y="25977"/>
          <a:ext cx="2519795" cy="458932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Maximax Decision Rule</a:t>
          </a:r>
        </a:p>
      </xdr:txBody>
    </xdr:sp>
    <xdr:clientData/>
  </xdr:twoCellAnchor>
  <xdr:twoCellAnchor>
    <xdr:from>
      <xdr:col>1</xdr:col>
      <xdr:colOff>314325</xdr:colOff>
      <xdr:row>10</xdr:row>
      <xdr:rowOff>142875</xdr:rowOff>
    </xdr:from>
    <xdr:to>
      <xdr:col>4</xdr:col>
      <xdr:colOff>276225</xdr:colOff>
      <xdr:row>17</xdr:row>
      <xdr:rowOff>28575</xdr:rowOff>
    </xdr:to>
    <xdr:sp macro="" textlink="">
      <xdr:nvSpPr>
        <xdr:cNvPr id="3074" name="NOTE" hidden="1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 txBox="1">
          <a:spLocks noChangeArrowheads="1"/>
        </xdr:cNvSpPr>
      </xdr:nvSpPr>
      <xdr:spPr bwMode="auto">
        <a:xfrm>
          <a:off x="1895475" y="1962150"/>
          <a:ext cx="2266950" cy="1019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Maximax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maximum payoff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highest maximum payoff.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1364673</xdr:colOff>
      <xdr:row>0</xdr:row>
      <xdr:rowOff>29440</xdr:rowOff>
    </xdr:from>
    <xdr:to>
      <xdr:col>3</xdr:col>
      <xdr:colOff>602673</xdr:colOff>
      <xdr:row>1</xdr:row>
      <xdr:rowOff>233794</xdr:rowOff>
    </xdr:to>
    <xdr:sp macro="[0]!Toggle" textlink="">
      <xdr:nvSpPr>
        <xdr:cNvPr id="4098" name="Text 2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>
          <a:spLocks noChangeArrowheads="1"/>
        </xdr:cNvSpPr>
      </xdr:nvSpPr>
      <xdr:spPr bwMode="auto">
        <a:xfrm>
          <a:off x="1364673" y="29440"/>
          <a:ext cx="2519795" cy="464127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Maximin Decision Rule</a:t>
          </a:r>
        </a:p>
      </xdr:txBody>
    </xdr:sp>
    <xdr:clientData/>
  </xdr:twoCellAnchor>
  <xdr:twoCellAnchor>
    <xdr:from>
      <xdr:col>3</xdr:col>
      <xdr:colOff>297007</xdr:colOff>
      <xdr:row>9</xdr:row>
      <xdr:rowOff>82260</xdr:rowOff>
    </xdr:from>
    <xdr:to>
      <xdr:col>6</xdr:col>
      <xdr:colOff>516082</xdr:colOff>
      <xdr:row>15</xdr:row>
      <xdr:rowOff>132483</xdr:rowOff>
    </xdr:to>
    <xdr:sp macro="" textlink="">
      <xdr:nvSpPr>
        <xdr:cNvPr id="4099" name="NOTE" hidden="1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SpPr txBox="1">
          <a:spLocks noChangeArrowheads="1"/>
        </xdr:cNvSpPr>
      </xdr:nvSpPr>
      <xdr:spPr bwMode="auto">
        <a:xfrm>
          <a:off x="3578802" y="1770783"/>
          <a:ext cx="2262621" cy="1037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Maximin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minimum payoff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highest minimum payoff.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1200150</xdr:colOff>
      <xdr:row>0</xdr:row>
      <xdr:rowOff>0</xdr:rowOff>
    </xdr:from>
    <xdr:to>
      <xdr:col>3</xdr:col>
      <xdr:colOff>419100</xdr:colOff>
      <xdr:row>1</xdr:row>
      <xdr:rowOff>228600</xdr:rowOff>
    </xdr:to>
    <xdr:sp macro="[0]!Toggle" textlink="">
      <xdr:nvSpPr>
        <xdr:cNvPr id="5121" name="Text 1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>
          <a:spLocks noChangeArrowheads="1"/>
        </xdr:cNvSpPr>
      </xdr:nvSpPr>
      <xdr:spPr bwMode="auto">
        <a:xfrm>
          <a:off x="1200150" y="0"/>
          <a:ext cx="2613314" cy="477982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Regret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Minimax Regret Decision Rule</a:t>
          </a:r>
        </a:p>
      </xdr:txBody>
    </xdr:sp>
    <xdr:clientData/>
  </xdr:twoCellAnchor>
  <xdr:twoCellAnchor>
    <xdr:from>
      <xdr:col>0</xdr:col>
      <xdr:colOff>962025</xdr:colOff>
      <xdr:row>9</xdr:row>
      <xdr:rowOff>28575</xdr:rowOff>
    </xdr:from>
    <xdr:to>
      <xdr:col>3</xdr:col>
      <xdr:colOff>485775</xdr:colOff>
      <xdr:row>14</xdr:row>
      <xdr:rowOff>85725</xdr:rowOff>
    </xdr:to>
    <xdr:sp macro="" textlink="">
      <xdr:nvSpPr>
        <xdr:cNvPr id="5122" name="NOTE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SpPr txBox="1">
          <a:spLocks noChangeArrowheads="1"/>
        </xdr:cNvSpPr>
      </xdr:nvSpPr>
      <xdr:spPr bwMode="auto">
        <a:xfrm>
          <a:off x="962025" y="1695450"/>
          <a:ext cx="2819400" cy="866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Minimax Regret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maximum regret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smallest maximum regret.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1162050</xdr:colOff>
      <xdr:row>0</xdr:row>
      <xdr:rowOff>38100</xdr:rowOff>
    </xdr:from>
    <xdr:to>
      <xdr:col>3</xdr:col>
      <xdr:colOff>400050</xdr:colOff>
      <xdr:row>1</xdr:row>
      <xdr:rowOff>242454</xdr:rowOff>
    </xdr:to>
    <xdr:sp macro="[0]!Toggle" textlink="">
      <xdr:nvSpPr>
        <xdr:cNvPr id="6145" name="Text 1">
          <a:extLst>
            <a:ext uri="{FF2B5EF4-FFF2-40B4-BE49-F238E27FC236}">
              <a16:creationId xmlns:a16="http://schemas.microsoft.com/office/drawing/2014/main" id="{00000000-0008-0000-0600-000001180000}"/>
            </a:ext>
          </a:extLst>
        </xdr:cNvPr>
        <xdr:cNvSpPr>
          <a:spLocks noChangeArrowheads="1"/>
        </xdr:cNvSpPr>
      </xdr:nvSpPr>
      <xdr:spPr bwMode="auto">
        <a:xfrm>
          <a:off x="1162050" y="38100"/>
          <a:ext cx="2519795" cy="464127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EMV Decision Rule</a:t>
          </a:r>
        </a:p>
      </xdr:txBody>
    </xdr:sp>
    <xdr:clientData/>
  </xdr:twoCellAnchor>
  <xdr:twoCellAnchor>
    <xdr:from>
      <xdr:col>0</xdr:col>
      <xdr:colOff>314325</xdr:colOff>
      <xdr:row>10</xdr:row>
      <xdr:rowOff>142874</xdr:rowOff>
    </xdr:from>
    <xdr:to>
      <xdr:col>2</xdr:col>
      <xdr:colOff>438150</xdr:colOff>
      <xdr:row>16</xdr:row>
      <xdr:rowOff>43294</xdr:rowOff>
    </xdr:to>
    <xdr:sp macro="" textlink="">
      <xdr:nvSpPr>
        <xdr:cNvPr id="6146" name="NOTE" hidden="1">
          <a:extLst>
            <a:ext uri="{FF2B5EF4-FFF2-40B4-BE49-F238E27FC236}">
              <a16:creationId xmlns:a16="http://schemas.microsoft.com/office/drawing/2014/main" id="{00000000-0008-0000-0600-000002180000}"/>
            </a:ext>
          </a:extLst>
        </xdr:cNvPr>
        <xdr:cNvSpPr txBox="1">
          <a:spLocks noChangeArrowheads="1"/>
        </xdr:cNvSpPr>
      </xdr:nvSpPr>
      <xdr:spPr bwMode="auto">
        <a:xfrm>
          <a:off x="314325" y="1995919"/>
          <a:ext cx="2574348" cy="8875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EMV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expected payoff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highest expected payoff.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1229591</xdr:colOff>
      <xdr:row>0</xdr:row>
      <xdr:rowOff>6927</xdr:rowOff>
    </xdr:from>
    <xdr:to>
      <xdr:col>3</xdr:col>
      <xdr:colOff>315191</xdr:colOff>
      <xdr:row>1</xdr:row>
      <xdr:rowOff>225136</xdr:rowOff>
    </xdr:to>
    <xdr:sp macro="[0]!Toggle" textlink="">
      <xdr:nvSpPr>
        <xdr:cNvPr id="7169" name="Text 1">
          <a:extLst>
            <a:ext uri="{FF2B5EF4-FFF2-40B4-BE49-F238E27FC236}">
              <a16:creationId xmlns:a16="http://schemas.microsoft.com/office/drawing/2014/main" id="{00000000-0008-0000-0700-0000011C0000}"/>
            </a:ext>
          </a:extLst>
        </xdr:cNvPr>
        <xdr:cNvSpPr>
          <a:spLocks noChangeArrowheads="1"/>
        </xdr:cNvSpPr>
      </xdr:nvSpPr>
      <xdr:spPr bwMode="auto">
        <a:xfrm>
          <a:off x="1229591" y="6927"/>
          <a:ext cx="2479964" cy="467591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Regret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EOL Decision Rule</a:t>
          </a:r>
        </a:p>
      </xdr:txBody>
    </xdr:sp>
    <xdr:clientData/>
  </xdr:twoCellAnchor>
  <xdr:twoCellAnchor>
    <xdr:from>
      <xdr:col>0</xdr:col>
      <xdr:colOff>1266825</xdr:colOff>
      <xdr:row>11</xdr:row>
      <xdr:rowOff>47624</xdr:rowOff>
    </xdr:from>
    <xdr:to>
      <xdr:col>4</xdr:col>
      <xdr:colOff>257175</xdr:colOff>
      <xdr:row>16</xdr:row>
      <xdr:rowOff>112567</xdr:rowOff>
    </xdr:to>
    <xdr:sp macro="" textlink="">
      <xdr:nvSpPr>
        <xdr:cNvPr id="7170" name="NOTE">
          <a:extLst>
            <a:ext uri="{FF2B5EF4-FFF2-40B4-BE49-F238E27FC236}">
              <a16:creationId xmlns:a16="http://schemas.microsoft.com/office/drawing/2014/main" id="{00000000-0008-0000-0700-0000021C0000}"/>
            </a:ext>
          </a:extLst>
        </xdr:cNvPr>
        <xdr:cNvSpPr txBox="1">
          <a:spLocks noChangeArrowheads="1"/>
        </xdr:cNvSpPr>
      </xdr:nvSpPr>
      <xdr:spPr bwMode="auto">
        <a:xfrm>
          <a:off x="1266825" y="2065192"/>
          <a:ext cx="3146714" cy="8875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EOL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expected opportunity loss (or expected regret)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smallest expected regret.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1162050</xdr:colOff>
      <xdr:row>0</xdr:row>
      <xdr:rowOff>28575</xdr:rowOff>
    </xdr:from>
    <xdr:to>
      <xdr:col>3</xdr:col>
      <xdr:colOff>400050</xdr:colOff>
      <xdr:row>1</xdr:row>
      <xdr:rowOff>238125</xdr:rowOff>
    </xdr:to>
    <xdr:sp macro="[0]!Toggle" textlink="">
      <xdr:nvSpPr>
        <xdr:cNvPr id="9217" name="Text 1">
          <a:extLst>
            <a:ext uri="{FF2B5EF4-FFF2-40B4-BE49-F238E27FC236}">
              <a16:creationId xmlns:a16="http://schemas.microsoft.com/office/drawing/2014/main" id="{00000000-0008-0000-0800-000001240000}"/>
            </a:ext>
          </a:extLst>
        </xdr:cNvPr>
        <xdr:cNvSpPr>
          <a:spLocks noChangeArrowheads="1"/>
        </xdr:cNvSpPr>
      </xdr:nvSpPr>
      <xdr:spPr bwMode="auto">
        <a:xfrm>
          <a:off x="1162050" y="28575"/>
          <a:ext cx="2181225" cy="4667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EMV Decision Rule</a:t>
          </a:r>
        </a:p>
      </xdr:txBody>
    </xdr:sp>
    <xdr:clientData/>
  </xdr:twoCellAnchor>
  <xdr:twoCellAnchor>
    <xdr:from>
      <xdr:col>0</xdr:col>
      <xdr:colOff>314325</xdr:colOff>
      <xdr:row>10</xdr:row>
      <xdr:rowOff>142875</xdr:rowOff>
    </xdr:from>
    <xdr:to>
      <xdr:col>2</xdr:col>
      <xdr:colOff>438150</xdr:colOff>
      <xdr:row>16</xdr:row>
      <xdr:rowOff>57150</xdr:rowOff>
    </xdr:to>
    <xdr:sp macro="" textlink="">
      <xdr:nvSpPr>
        <xdr:cNvPr id="9218" name="NOTE" hidden="1">
          <a:extLst>
            <a:ext uri="{FF2B5EF4-FFF2-40B4-BE49-F238E27FC236}">
              <a16:creationId xmlns:a16="http://schemas.microsoft.com/office/drawing/2014/main" id="{00000000-0008-0000-0800-000002240000}"/>
            </a:ext>
          </a:extLst>
        </xdr:cNvPr>
        <xdr:cNvSpPr txBox="1">
          <a:spLocks noChangeArrowheads="1"/>
        </xdr:cNvSpPr>
      </xdr:nvSpPr>
      <xdr:spPr bwMode="auto">
        <a:xfrm>
          <a:off x="314325" y="1971675"/>
          <a:ext cx="2238375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The EMV Decision Rule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expected payoff for each alternative.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Select the alternative with the highest expected payoff.</a:t>
          </a:r>
        </a:p>
      </xdr:txBody>
    </xdr:sp>
    <xdr:clientData/>
  </xdr:twoCellAnchor>
  <xdr:twoCellAnchor>
    <xdr:from>
      <xdr:col>5</xdr:col>
      <xdr:colOff>114300</xdr:colOff>
      <xdr:row>1</xdr:row>
      <xdr:rowOff>38100</xdr:rowOff>
    </xdr:from>
    <xdr:to>
      <xdr:col>10</xdr:col>
      <xdr:colOff>529936</xdr:colOff>
      <xdr:row>16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1210541</xdr:colOff>
      <xdr:row>0</xdr:row>
      <xdr:rowOff>0</xdr:rowOff>
    </xdr:from>
    <xdr:to>
      <xdr:col>4</xdr:col>
      <xdr:colOff>43295</xdr:colOff>
      <xdr:row>1</xdr:row>
      <xdr:rowOff>216478</xdr:rowOff>
    </xdr:to>
    <xdr:sp macro="[0]!Toggle" textlink="">
      <xdr:nvSpPr>
        <xdr:cNvPr id="8193" name="Text 1">
          <a:extLst>
            <a:ext uri="{FF2B5EF4-FFF2-40B4-BE49-F238E27FC236}">
              <a16:creationId xmlns:a16="http://schemas.microsoft.com/office/drawing/2014/main" id="{00000000-0008-0000-0900-000001200000}"/>
            </a:ext>
          </a:extLst>
        </xdr:cNvPr>
        <xdr:cNvSpPr>
          <a:spLocks noChangeArrowheads="1"/>
        </xdr:cNvSpPr>
      </xdr:nvSpPr>
      <xdr:spPr bwMode="auto">
        <a:xfrm>
          <a:off x="1210541" y="0"/>
          <a:ext cx="2788227" cy="46586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Calculation of EVPI</a:t>
          </a:r>
        </a:p>
      </xdr:txBody>
    </xdr:sp>
    <xdr:clientData/>
  </xdr:twoCellAnchor>
  <xdr:twoCellAnchor>
    <xdr:from>
      <xdr:col>0</xdr:col>
      <xdr:colOff>619125</xdr:colOff>
      <xdr:row>14</xdr:row>
      <xdr:rowOff>76200</xdr:rowOff>
    </xdr:from>
    <xdr:to>
      <xdr:col>3</xdr:col>
      <xdr:colOff>352425</xdr:colOff>
      <xdr:row>22</xdr:row>
      <xdr:rowOff>57150</xdr:rowOff>
    </xdr:to>
    <xdr:sp macro="" textlink="">
      <xdr:nvSpPr>
        <xdr:cNvPr id="8194" name="NOTE">
          <a:extLst>
            <a:ext uri="{FF2B5EF4-FFF2-40B4-BE49-F238E27FC236}">
              <a16:creationId xmlns:a16="http://schemas.microsoft.com/office/drawing/2014/main" id="{00000000-0008-0000-0900-000002200000}"/>
            </a:ext>
          </a:extLst>
        </xdr:cNvPr>
        <xdr:cNvSpPr txBox="1">
          <a:spLocks noChangeArrowheads="1"/>
        </xdr:cNvSpPr>
      </xdr:nvSpPr>
      <xdr:spPr bwMode="auto">
        <a:xfrm>
          <a:off x="619125" y="2714625"/>
          <a:ext cx="3000375" cy="127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 baseline="0">
              <a:solidFill>
                <a:srgbClr val="FF0000"/>
              </a:solidFill>
              <a:latin typeface="Fixedsys"/>
            </a:rPr>
            <a:t>Expected Value of Perfect Information</a:t>
          </a:r>
          <a:endParaRPr lang="en-US" sz="1000" b="0" i="0" u="none" strike="noStrike" baseline="0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1. Compute the expected value received if perfect information about the states of nature is available. 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2. Subtract the maximum EMV without perfect information.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3. The result is the EVPI(and the minimum EOL).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E13"/>
  <sheetViews>
    <sheetView showGridLines="0" zoomScale="110" workbookViewId="0">
      <selection activeCell="C7" sqref="C7"/>
    </sheetView>
  </sheetViews>
  <sheetFormatPr defaultRowHeight="12.5" x14ac:dyDescent="0.25"/>
  <cols>
    <col min="1" max="1" width="5.08984375" customWidth="1"/>
    <col min="2" max="2" width="44.54296875" customWidth="1"/>
    <col min="3" max="4" width="13.90625" customWidth="1"/>
  </cols>
  <sheetData>
    <row r="2" spans="2:5" ht="18" x14ac:dyDescent="0.4">
      <c r="B2" s="10"/>
      <c r="C2" s="4"/>
      <c r="D2" s="4"/>
      <c r="E2" s="4"/>
    </row>
    <row r="3" spans="2:5" ht="18" x14ac:dyDescent="0.4">
      <c r="B3" s="10"/>
      <c r="C3" s="4"/>
      <c r="D3" s="4"/>
      <c r="E3" s="4"/>
    </row>
    <row r="5" spans="2:5" ht="16.5" customHeight="1" x14ac:dyDescent="0.3">
      <c r="B5" s="33"/>
      <c r="C5" s="34" t="s">
        <v>0</v>
      </c>
      <c r="D5" s="34"/>
    </row>
    <row r="6" spans="2:5" ht="17.25" customHeight="1" thickBot="1" x14ac:dyDescent="0.35">
      <c r="B6" s="35"/>
      <c r="C6" s="36" t="s">
        <v>1</v>
      </c>
      <c r="D6" s="36" t="s">
        <v>2</v>
      </c>
    </row>
    <row r="7" spans="2:5" ht="17.25" customHeight="1" x14ac:dyDescent="0.25">
      <c r="B7" s="37" t="s">
        <v>3</v>
      </c>
      <c r="C7" s="38">
        <v>18</v>
      </c>
      <c r="D7" s="38">
        <v>12</v>
      </c>
    </row>
    <row r="8" spans="2:5" ht="12" customHeight="1" x14ac:dyDescent="0.25">
      <c r="B8" s="37"/>
      <c r="C8" s="38"/>
      <c r="D8" s="38"/>
    </row>
    <row r="9" spans="2:5" ht="30.75" customHeight="1" x14ac:dyDescent="0.25">
      <c r="B9" s="39" t="s">
        <v>4</v>
      </c>
      <c r="C9" s="38">
        <v>31</v>
      </c>
      <c r="D9" s="38">
        <v>23</v>
      </c>
    </row>
    <row r="10" spans="2:5" ht="12" customHeight="1" x14ac:dyDescent="0.25">
      <c r="B10" s="39"/>
      <c r="C10" s="38"/>
      <c r="D10" s="38"/>
    </row>
    <row r="11" spans="2:5" ht="31.5" customHeight="1" thickBot="1" x14ac:dyDescent="0.3">
      <c r="B11" s="40" t="s">
        <v>5</v>
      </c>
      <c r="C11" s="41">
        <v>6</v>
      </c>
      <c r="D11" s="41">
        <v>4</v>
      </c>
    </row>
    <row r="12" spans="2:5" ht="14" x14ac:dyDescent="0.3">
      <c r="B12" s="42"/>
      <c r="C12" s="43"/>
      <c r="D12" s="43"/>
    </row>
    <row r="13" spans="2:5" ht="14" x14ac:dyDescent="0.3">
      <c r="B13" s="44" t="s">
        <v>6</v>
      </c>
      <c r="C13" s="45"/>
      <c r="D13" s="45"/>
      <c r="E13" s="3"/>
    </row>
  </sheetData>
  <phoneticPr fontId="9" type="noConversion"/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0"/>
  <sheetViews>
    <sheetView zoomScale="110" workbookViewId="0">
      <selection activeCell="C6" sqref="C6"/>
    </sheetView>
  </sheetViews>
  <sheetFormatPr defaultRowHeight="12.5" x14ac:dyDescent="0.25"/>
  <cols>
    <col min="1" max="1" width="20.90625" customWidth="1"/>
    <col min="2" max="2" width="13" customWidth="1"/>
    <col min="3" max="3" width="12.453125" customWidth="1"/>
  </cols>
  <sheetData>
    <row r="1" spans="1:3" ht="15" customHeight="1" x14ac:dyDescent="0.3">
      <c r="A1" s="9"/>
      <c r="B1" s="22"/>
      <c r="C1" s="22"/>
    </row>
    <row r="2" spans="1:3" ht="15" customHeight="1" x14ac:dyDescent="0.3">
      <c r="A2" s="9"/>
      <c r="B2" s="6"/>
      <c r="C2" s="6"/>
    </row>
    <row r="3" spans="1:3" ht="13" x14ac:dyDescent="0.3">
      <c r="A3" s="2" t="s">
        <v>7</v>
      </c>
      <c r="B3" s="4" t="s">
        <v>8</v>
      </c>
      <c r="C3" s="4"/>
    </row>
    <row r="4" spans="1:3" ht="13.5" thickBot="1" x14ac:dyDescent="0.35">
      <c r="A4" s="20" t="s">
        <v>9</v>
      </c>
      <c r="B4" s="20" t="s">
        <v>1</v>
      </c>
      <c r="C4" s="20" t="s">
        <v>2</v>
      </c>
    </row>
    <row r="5" spans="1:3" ht="13" x14ac:dyDescent="0.3">
      <c r="A5" s="8" t="s">
        <v>1</v>
      </c>
      <c r="B5" s="14">
        <f>Data!C9-Data!C7</f>
        <v>13</v>
      </c>
      <c r="C5" s="14">
        <f>Data!C11-Data!C7</f>
        <v>-12</v>
      </c>
    </row>
    <row r="6" spans="1:3" ht="13" x14ac:dyDescent="0.3">
      <c r="A6" s="8" t="s">
        <v>2</v>
      </c>
      <c r="B6" s="14">
        <f>Data!D11-Data!D7</f>
        <v>-8</v>
      </c>
      <c r="C6" s="14">
        <f>Data!D9-Data!D7</f>
        <v>11</v>
      </c>
    </row>
    <row r="7" spans="1:3" ht="13" x14ac:dyDescent="0.3">
      <c r="A7" s="8" t="s">
        <v>10</v>
      </c>
      <c r="B7" s="14">
        <f>Data!C9+Data!D11-Data!C7-Data!D7</f>
        <v>5</v>
      </c>
      <c r="C7" s="14">
        <f>Data!D9+Data!C11-Data!C7-Data!D7</f>
        <v>-1</v>
      </c>
    </row>
    <row r="8" spans="1:3" ht="13.5" thickBot="1" x14ac:dyDescent="0.35">
      <c r="A8" s="20" t="s">
        <v>11</v>
      </c>
      <c r="B8" s="21">
        <v>0</v>
      </c>
      <c r="C8" s="21">
        <v>0</v>
      </c>
    </row>
    <row r="9" spans="1:3" x14ac:dyDescent="0.25">
      <c r="B9" s="1"/>
      <c r="C9" s="1"/>
    </row>
    <row r="10" spans="1:3" x14ac:dyDescent="0.25">
      <c r="B10" s="1"/>
      <c r="C10" s="1"/>
    </row>
  </sheetData>
  <phoneticPr fontId="9" type="noConversion"/>
  <printOptions headings="1"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"/>
  <sheetViews>
    <sheetView zoomScale="110" workbookViewId="0">
      <selection activeCell="C13" sqref="C13"/>
    </sheetView>
  </sheetViews>
  <sheetFormatPr defaultRowHeight="12.5" x14ac:dyDescent="0.25"/>
  <cols>
    <col min="1" max="1" width="23.6328125" customWidth="1"/>
    <col min="2" max="2" width="13" customWidth="1"/>
    <col min="3" max="3" width="12.453125" customWidth="1"/>
    <col min="5" max="5" width="12.453125" customWidth="1"/>
  </cols>
  <sheetData>
    <row r="1" spans="1:5" ht="19.5" customHeight="1" x14ac:dyDescent="0.3">
      <c r="A1" s="9"/>
      <c r="B1" s="6"/>
      <c r="C1" s="6"/>
    </row>
    <row r="2" spans="1:5" ht="20.25" customHeight="1" x14ac:dyDescent="0.3">
      <c r="A2" s="9"/>
      <c r="B2" s="6"/>
      <c r="C2" s="6"/>
    </row>
    <row r="3" spans="1:5" ht="13" x14ac:dyDescent="0.3">
      <c r="A3" s="2" t="s">
        <v>7</v>
      </c>
      <c r="B3" s="4" t="s">
        <v>8</v>
      </c>
      <c r="C3" s="4"/>
    </row>
    <row r="4" spans="1:5" ht="13.5" thickBot="1" x14ac:dyDescent="0.35">
      <c r="A4" s="20" t="s">
        <v>9</v>
      </c>
      <c r="B4" s="20" t="s">
        <v>1</v>
      </c>
      <c r="C4" s="20" t="s">
        <v>2</v>
      </c>
      <c r="D4" s="20" t="s">
        <v>12</v>
      </c>
      <c r="E4" s="46" t="s">
        <v>25</v>
      </c>
    </row>
    <row r="5" spans="1:5" ht="13" x14ac:dyDescent="0.3">
      <c r="A5" s="8" t="s">
        <v>1</v>
      </c>
      <c r="B5" s="14">
        <f>Payoffs!B5</f>
        <v>13</v>
      </c>
      <c r="C5" s="14">
        <f>Payoffs!C5</f>
        <v>-12</v>
      </c>
      <c r="D5" s="5">
        <f>MAX(B5:C5)</f>
        <v>13</v>
      </c>
      <c r="E5" s="23" t="str">
        <f>IF(D5=MAX($D$5:$D$8),"&lt;--maximum","")</f>
        <v>&lt;--maximum</v>
      </c>
    </row>
    <row r="6" spans="1:5" ht="13" x14ac:dyDescent="0.3">
      <c r="A6" s="8" t="s">
        <v>2</v>
      </c>
      <c r="B6" s="14">
        <f>Payoffs!B6</f>
        <v>-8</v>
      </c>
      <c r="C6" s="14">
        <f>Payoffs!C6</f>
        <v>11</v>
      </c>
      <c r="D6" s="5">
        <f t="shared" ref="D6:D8" si="0">MAX(B6:C6)</f>
        <v>11</v>
      </c>
      <c r="E6" s="23" t="str">
        <f t="shared" ref="E6:E8" si="1">IF(D6=MAX($D$5:$D$8),"&lt;--maximum","")</f>
        <v/>
      </c>
    </row>
    <row r="7" spans="1:5" ht="13" x14ac:dyDescent="0.3">
      <c r="A7" s="8" t="s">
        <v>10</v>
      </c>
      <c r="B7" s="14">
        <f>Payoffs!B7</f>
        <v>5</v>
      </c>
      <c r="C7" s="14">
        <f>Payoffs!C7</f>
        <v>-1</v>
      </c>
      <c r="D7" s="5">
        <f t="shared" si="0"/>
        <v>5</v>
      </c>
      <c r="E7" s="23" t="str">
        <f t="shared" si="1"/>
        <v/>
      </c>
    </row>
    <row r="8" spans="1:5" ht="13.5" thickBot="1" x14ac:dyDescent="0.35">
      <c r="A8" s="20" t="s">
        <v>11</v>
      </c>
      <c r="B8" s="21">
        <f>Payoffs!B8</f>
        <v>0</v>
      </c>
      <c r="C8" s="21">
        <f>Payoffs!C8</f>
        <v>0</v>
      </c>
      <c r="D8" s="24">
        <f t="shared" si="0"/>
        <v>0</v>
      </c>
      <c r="E8" s="23" t="str">
        <f t="shared" si="1"/>
        <v/>
      </c>
    </row>
    <row r="9" spans="1:5" x14ac:dyDescent="0.25">
      <c r="B9" s="1"/>
      <c r="C9" s="1"/>
    </row>
    <row r="10" spans="1:5" x14ac:dyDescent="0.25">
      <c r="B10" s="1"/>
      <c r="C10" s="1"/>
    </row>
  </sheetData>
  <phoneticPr fontId="9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10"/>
  <sheetViews>
    <sheetView zoomScale="110" workbookViewId="0">
      <selection activeCell="C13" sqref="C13"/>
    </sheetView>
  </sheetViews>
  <sheetFormatPr defaultRowHeight="12.5" x14ac:dyDescent="0.25"/>
  <cols>
    <col min="1" max="1" width="23.6328125" customWidth="1"/>
    <col min="2" max="2" width="13" customWidth="1"/>
    <col min="3" max="3" width="12.453125" customWidth="1"/>
    <col min="5" max="5" width="12.453125" customWidth="1"/>
  </cols>
  <sheetData>
    <row r="1" spans="1:5" ht="20.25" customHeight="1" x14ac:dyDescent="0.3">
      <c r="A1" s="9"/>
      <c r="B1" s="6"/>
      <c r="C1" s="6"/>
    </row>
    <row r="2" spans="1:5" ht="20.25" customHeight="1" x14ac:dyDescent="0.3">
      <c r="A2" s="9"/>
      <c r="B2" s="6"/>
      <c r="C2" s="6"/>
    </row>
    <row r="3" spans="1:5" ht="13" x14ac:dyDescent="0.3">
      <c r="A3" s="2" t="s">
        <v>7</v>
      </c>
      <c r="B3" s="4" t="s">
        <v>8</v>
      </c>
      <c r="C3" s="4"/>
    </row>
    <row r="4" spans="1:5" ht="13.5" thickBot="1" x14ac:dyDescent="0.35">
      <c r="A4" s="20" t="s">
        <v>9</v>
      </c>
      <c r="B4" s="20" t="s">
        <v>1</v>
      </c>
      <c r="C4" s="20" t="s">
        <v>2</v>
      </c>
      <c r="D4" s="20" t="s">
        <v>13</v>
      </c>
      <c r="E4" s="46" t="s">
        <v>25</v>
      </c>
    </row>
    <row r="5" spans="1:5" ht="13" x14ac:dyDescent="0.3">
      <c r="A5" s="8" t="s">
        <v>1</v>
      </c>
      <c r="B5" s="14">
        <f>Payoffs!B5</f>
        <v>13</v>
      </c>
      <c r="C5" s="14">
        <f>Payoffs!C5</f>
        <v>-12</v>
      </c>
      <c r="D5" s="5">
        <f>MIN(B5:C5)</f>
        <v>-12</v>
      </c>
      <c r="E5" s="25" t="str">
        <f>IF(D5=MAX($D$5:$D$8),"&lt;--maximum","")</f>
        <v/>
      </c>
    </row>
    <row r="6" spans="1:5" ht="13" x14ac:dyDescent="0.3">
      <c r="A6" s="8" t="s">
        <v>2</v>
      </c>
      <c r="B6" s="14">
        <f>Payoffs!B6</f>
        <v>-8</v>
      </c>
      <c r="C6" s="14">
        <f>Payoffs!C6</f>
        <v>11</v>
      </c>
      <c r="D6" s="5">
        <f t="shared" ref="D6:D8" si="0">MIN(B6:C6)</f>
        <v>-8</v>
      </c>
      <c r="E6" s="25" t="str">
        <f t="shared" ref="E6:E8" si="1">IF(D6=MAX($D$5:$D$8),"&lt;--maximum","")</f>
        <v/>
      </c>
    </row>
    <row r="7" spans="1:5" ht="13" x14ac:dyDescent="0.3">
      <c r="A7" s="8" t="s">
        <v>10</v>
      </c>
      <c r="B7" s="14">
        <f>Payoffs!B7</f>
        <v>5</v>
      </c>
      <c r="C7" s="14">
        <f>Payoffs!C7</f>
        <v>-1</v>
      </c>
      <c r="D7" s="5">
        <f t="shared" si="0"/>
        <v>-1</v>
      </c>
      <c r="E7" s="25" t="str">
        <f t="shared" si="1"/>
        <v/>
      </c>
    </row>
    <row r="8" spans="1:5" ht="13.5" thickBot="1" x14ac:dyDescent="0.35">
      <c r="A8" s="20" t="s">
        <v>11</v>
      </c>
      <c r="B8" s="21">
        <f>Payoffs!B8</f>
        <v>0</v>
      </c>
      <c r="C8" s="21">
        <f>Payoffs!C8</f>
        <v>0</v>
      </c>
      <c r="D8" s="24">
        <f t="shared" si="0"/>
        <v>0</v>
      </c>
      <c r="E8" s="25" t="str">
        <f t="shared" si="1"/>
        <v>&lt;--maximum</v>
      </c>
    </row>
    <row r="9" spans="1:5" x14ac:dyDescent="0.25">
      <c r="B9" s="1"/>
      <c r="C9" s="1"/>
    </row>
    <row r="10" spans="1:5" x14ac:dyDescent="0.25">
      <c r="B10" s="1"/>
      <c r="C10" s="1"/>
    </row>
  </sheetData>
  <phoneticPr fontId="9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2"/>
  <sheetViews>
    <sheetView zoomScale="110" workbookViewId="0">
      <selection activeCell="F14" sqref="F14"/>
    </sheetView>
  </sheetViews>
  <sheetFormatPr defaultRowHeight="12.5" x14ac:dyDescent="0.25"/>
  <cols>
    <col min="1" max="1" width="23.6328125" customWidth="1"/>
    <col min="2" max="3" width="12.90625" customWidth="1"/>
    <col min="5" max="5" width="11.90625" customWidth="1"/>
  </cols>
  <sheetData>
    <row r="1" spans="1:6" ht="20.25" customHeight="1" x14ac:dyDescent="0.3">
      <c r="A1" s="9"/>
      <c r="B1" s="6"/>
      <c r="C1" s="6"/>
      <c r="D1" s="1"/>
    </row>
    <row r="2" spans="1:6" ht="20.25" customHeight="1" x14ac:dyDescent="0.3">
      <c r="A2" s="9"/>
      <c r="B2" s="6"/>
      <c r="C2" s="6"/>
      <c r="D2" s="1"/>
    </row>
    <row r="3" spans="1:6" ht="13" x14ac:dyDescent="0.3">
      <c r="A3" s="2" t="s">
        <v>7</v>
      </c>
      <c r="B3" s="4" t="s">
        <v>8</v>
      </c>
      <c r="C3" s="4"/>
    </row>
    <row r="4" spans="1:6" ht="13.5" thickBot="1" x14ac:dyDescent="0.35">
      <c r="A4" s="20" t="s">
        <v>9</v>
      </c>
      <c r="B4" s="20" t="s">
        <v>1</v>
      </c>
      <c r="C4" s="20" t="s">
        <v>2</v>
      </c>
      <c r="D4" s="20" t="s">
        <v>14</v>
      </c>
      <c r="E4" s="46" t="s">
        <v>25</v>
      </c>
      <c r="F4" s="2"/>
    </row>
    <row r="5" spans="1:6" ht="13" x14ac:dyDescent="0.3">
      <c r="A5" s="8" t="s">
        <v>1</v>
      </c>
      <c r="B5" s="14">
        <f>MAX(Payoffs!B$5:B$8)-Payoffs!B5</f>
        <v>0</v>
      </c>
      <c r="C5" s="14">
        <f>MAX(Payoffs!C$5:C$8)-Payoffs!C5</f>
        <v>23</v>
      </c>
      <c r="D5" s="5">
        <f>MAX(B5:C5)</f>
        <v>23</v>
      </c>
      <c r="E5" s="25" t="str">
        <f>IF(D5=MIN($D$5:$D$8),"&lt;--minimum","")</f>
        <v/>
      </c>
      <c r="F5" s="5"/>
    </row>
    <row r="6" spans="1:6" ht="13" x14ac:dyDescent="0.3">
      <c r="A6" s="8" t="s">
        <v>2</v>
      </c>
      <c r="B6" s="14">
        <f>MAX(Payoffs!B$5:B$8)-Payoffs!B6</f>
        <v>21</v>
      </c>
      <c r="C6" s="14">
        <f>MAX(Payoffs!C$5:C$8)-Payoffs!C6</f>
        <v>0</v>
      </c>
      <c r="D6" s="5">
        <f t="shared" ref="D6:D8" si="0">MAX(B6:C6)</f>
        <v>21</v>
      </c>
      <c r="E6" s="25" t="str">
        <f t="shared" ref="E6:E8" si="1">IF(D6=MIN($D$5:$D$8),"&lt;--minimum","")</f>
        <v/>
      </c>
      <c r="F6" s="5"/>
    </row>
    <row r="7" spans="1:6" ht="13" x14ac:dyDescent="0.3">
      <c r="A7" s="8" t="s">
        <v>10</v>
      </c>
      <c r="B7" s="14">
        <f>MAX(Payoffs!B$5:B$8)-Payoffs!B7</f>
        <v>8</v>
      </c>
      <c r="C7" s="14">
        <f>MAX(Payoffs!C$5:C$8)-Payoffs!C7</f>
        <v>12</v>
      </c>
      <c r="D7" s="5">
        <f t="shared" si="0"/>
        <v>12</v>
      </c>
      <c r="E7" s="25" t="str">
        <f t="shared" si="1"/>
        <v>&lt;--minimum</v>
      </c>
      <c r="F7" s="5"/>
    </row>
    <row r="8" spans="1:6" ht="13.5" thickBot="1" x14ac:dyDescent="0.35">
      <c r="A8" s="20" t="s">
        <v>11</v>
      </c>
      <c r="B8" s="21">
        <f>MAX(Payoffs!B$5:B$8)-Payoffs!B8</f>
        <v>13</v>
      </c>
      <c r="C8" s="21">
        <f>MAX(Payoffs!C$5:C$8)-Payoffs!C8</f>
        <v>11</v>
      </c>
      <c r="D8" s="24">
        <f t="shared" si="0"/>
        <v>13</v>
      </c>
      <c r="E8" s="25" t="str">
        <f t="shared" si="1"/>
        <v/>
      </c>
      <c r="F8" s="5"/>
    </row>
    <row r="9" spans="1:6" x14ac:dyDescent="0.25">
      <c r="B9" s="1"/>
      <c r="C9" s="1"/>
      <c r="F9" s="5"/>
    </row>
    <row r="10" spans="1:6" ht="13" x14ac:dyDescent="0.3">
      <c r="A10" s="8"/>
      <c r="B10" s="7"/>
      <c r="C10" s="7"/>
      <c r="D10" s="7"/>
      <c r="F10" s="5"/>
    </row>
    <row r="11" spans="1:6" ht="13" x14ac:dyDescent="0.3">
      <c r="A11" s="8"/>
      <c r="B11" s="7"/>
      <c r="C11" s="7"/>
      <c r="D11" s="7"/>
      <c r="F11" s="5"/>
    </row>
    <row r="12" spans="1:6" x14ac:dyDescent="0.25">
      <c r="B12" s="1"/>
      <c r="C12" s="1"/>
    </row>
  </sheetData>
  <phoneticPr fontId="9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0"/>
  <sheetViews>
    <sheetView zoomScale="110" workbookViewId="0">
      <selection activeCell="E21" sqref="E21"/>
    </sheetView>
  </sheetViews>
  <sheetFormatPr defaultRowHeight="12.5" x14ac:dyDescent="0.25"/>
  <cols>
    <col min="1" max="1" width="23.6328125" customWidth="1"/>
    <col min="2" max="2" width="13" customWidth="1"/>
    <col min="3" max="3" width="12.453125" customWidth="1"/>
    <col min="4" max="5" width="12.90625" customWidth="1"/>
  </cols>
  <sheetData>
    <row r="1" spans="1:5" ht="20.25" customHeight="1" x14ac:dyDescent="0.3">
      <c r="A1" s="9"/>
      <c r="B1" s="6"/>
      <c r="C1" s="6"/>
    </row>
    <row r="2" spans="1:5" ht="20.25" customHeight="1" x14ac:dyDescent="0.3">
      <c r="A2" s="9"/>
      <c r="B2" s="6"/>
      <c r="C2" s="6"/>
    </row>
    <row r="3" spans="1:5" ht="13" x14ac:dyDescent="0.3">
      <c r="A3" s="2" t="s">
        <v>7</v>
      </c>
      <c r="B3" s="4" t="s">
        <v>8</v>
      </c>
      <c r="C3" s="4"/>
    </row>
    <row r="4" spans="1:5" ht="13.5" thickBot="1" x14ac:dyDescent="0.35">
      <c r="A4" s="20" t="s">
        <v>9</v>
      </c>
      <c r="B4" s="20" t="s">
        <v>1</v>
      </c>
      <c r="C4" s="20" t="s">
        <v>2</v>
      </c>
      <c r="D4" s="20" t="s">
        <v>15</v>
      </c>
      <c r="E4" s="46" t="s">
        <v>25</v>
      </c>
    </row>
    <row r="5" spans="1:5" ht="13" x14ac:dyDescent="0.3">
      <c r="A5" s="8" t="s">
        <v>1</v>
      </c>
      <c r="B5" s="14">
        <f>Payoffs!B5</f>
        <v>13</v>
      </c>
      <c r="C5" s="14">
        <f>Payoffs!C5</f>
        <v>-12</v>
      </c>
      <c r="D5" s="17">
        <f>SUMPRODUCT($B$10:$C$10,B5:C5)</f>
        <v>-1.9999999999999991</v>
      </c>
      <c r="E5" s="25" t="str">
        <f>IF(D5=MAX($D$5:$D$8),"&lt;--maximum","")</f>
        <v/>
      </c>
    </row>
    <row r="6" spans="1:5" ht="13" x14ac:dyDescent="0.3">
      <c r="A6" s="8" t="s">
        <v>2</v>
      </c>
      <c r="B6" s="14">
        <f>Payoffs!B6</f>
        <v>-8</v>
      </c>
      <c r="C6" s="14">
        <f>Payoffs!C6</f>
        <v>11</v>
      </c>
      <c r="D6" s="17">
        <f t="shared" ref="D6:D8" si="0">SUMPRODUCT($B$10:$C$10,B6:C6)</f>
        <v>3.3999999999999995</v>
      </c>
      <c r="E6" s="25" t="str">
        <f t="shared" ref="E6:E8" si="1">IF(D6=MAX($D$5:$D$8),"&lt;--maximum","")</f>
        <v>&lt;--maximum</v>
      </c>
    </row>
    <row r="7" spans="1:5" ht="13" x14ac:dyDescent="0.3">
      <c r="A7" s="8" t="s">
        <v>10</v>
      </c>
      <c r="B7" s="14">
        <f>Payoffs!B7</f>
        <v>5</v>
      </c>
      <c r="C7" s="14">
        <f>Payoffs!C7</f>
        <v>-1</v>
      </c>
      <c r="D7" s="17">
        <f t="shared" si="0"/>
        <v>1.4</v>
      </c>
      <c r="E7" s="25" t="str">
        <f t="shared" si="1"/>
        <v/>
      </c>
    </row>
    <row r="8" spans="1:5" ht="13.5" thickBot="1" x14ac:dyDescent="0.35">
      <c r="A8" s="20" t="s">
        <v>11</v>
      </c>
      <c r="B8" s="21">
        <f>Payoffs!B8</f>
        <v>0</v>
      </c>
      <c r="C8" s="21">
        <f>Payoffs!C8</f>
        <v>0</v>
      </c>
      <c r="D8" s="26">
        <f t="shared" si="0"/>
        <v>0</v>
      </c>
      <c r="E8" s="25" t="str">
        <f t="shared" si="1"/>
        <v/>
      </c>
    </row>
    <row r="9" spans="1:5" x14ac:dyDescent="0.25">
      <c r="A9" s="12"/>
      <c r="B9" s="1"/>
      <c r="C9" s="1"/>
    </row>
    <row r="10" spans="1:5" ht="13" x14ac:dyDescent="0.3">
      <c r="A10" s="2" t="s">
        <v>16</v>
      </c>
      <c r="B10" s="1">
        <v>0.4</v>
      </c>
      <c r="C10" s="1">
        <f>1-B10</f>
        <v>0.6</v>
      </c>
    </row>
  </sheetData>
  <phoneticPr fontId="9" type="noConversion"/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13"/>
  <sheetViews>
    <sheetView zoomScale="110" workbookViewId="0">
      <selection activeCell="E8" sqref="E8"/>
    </sheetView>
  </sheetViews>
  <sheetFormatPr defaultRowHeight="12.5" x14ac:dyDescent="0.25"/>
  <cols>
    <col min="1" max="1" width="23.6328125" customWidth="1"/>
    <col min="2" max="4" width="12.90625" customWidth="1"/>
    <col min="5" max="5" width="11.90625" customWidth="1"/>
  </cols>
  <sheetData>
    <row r="1" spans="1:6" ht="20.25" customHeight="1" x14ac:dyDescent="0.3">
      <c r="A1" s="9"/>
      <c r="B1" s="6"/>
      <c r="C1" s="6"/>
      <c r="D1" s="1"/>
    </row>
    <row r="2" spans="1:6" ht="20.25" customHeight="1" x14ac:dyDescent="0.3">
      <c r="A2" s="9"/>
      <c r="B2" s="6"/>
      <c r="C2" s="6"/>
      <c r="D2" s="1"/>
    </row>
    <row r="3" spans="1:6" ht="13" x14ac:dyDescent="0.3">
      <c r="A3" s="2" t="s">
        <v>7</v>
      </c>
      <c r="B3" s="4" t="s">
        <v>8</v>
      </c>
      <c r="C3" s="4"/>
    </row>
    <row r="4" spans="1:6" ht="13.5" thickBot="1" x14ac:dyDescent="0.35">
      <c r="A4" s="20" t="s">
        <v>9</v>
      </c>
      <c r="B4" s="20" t="s">
        <v>1</v>
      </c>
      <c r="C4" s="20" t="s">
        <v>2</v>
      </c>
      <c r="D4" s="20" t="s">
        <v>17</v>
      </c>
      <c r="E4" s="46" t="s">
        <v>25</v>
      </c>
      <c r="F4" s="2"/>
    </row>
    <row r="5" spans="1:6" ht="13" x14ac:dyDescent="0.3">
      <c r="A5" s="8" t="s">
        <v>1</v>
      </c>
      <c r="B5" s="14">
        <f>'Minimax Regret'!B5</f>
        <v>0</v>
      </c>
      <c r="C5" s="14">
        <f>'Minimax Regret'!C5</f>
        <v>23</v>
      </c>
      <c r="D5" s="17">
        <f>SUMPRODUCT($B$10:$C$10,B5:C5)</f>
        <v>13.799999999999999</v>
      </c>
      <c r="E5" s="25" t="str">
        <f>IF(D5=MIN($D$5:$D$8),"&lt;--minimum","")</f>
        <v/>
      </c>
      <c r="F5" s="5"/>
    </row>
    <row r="6" spans="1:6" ht="13" x14ac:dyDescent="0.3">
      <c r="A6" s="8" t="s">
        <v>2</v>
      </c>
      <c r="B6" s="14">
        <f>'Minimax Regret'!B6</f>
        <v>21</v>
      </c>
      <c r="C6" s="14">
        <f>'Minimax Regret'!C6</f>
        <v>0</v>
      </c>
      <c r="D6" s="17">
        <f t="shared" ref="D6:D8" si="0">SUMPRODUCT($B$10:$C$10,B6:C6)</f>
        <v>8.4</v>
      </c>
      <c r="E6" s="25" t="str">
        <f t="shared" ref="E6:E8" si="1">IF(D6=MIN($D$5:$D$8),"&lt;--minimum","")</f>
        <v>&lt;--minimum</v>
      </c>
      <c r="F6" s="5"/>
    </row>
    <row r="7" spans="1:6" ht="13" x14ac:dyDescent="0.3">
      <c r="A7" s="8" t="s">
        <v>10</v>
      </c>
      <c r="B7" s="14">
        <f>'Minimax Regret'!B7</f>
        <v>8</v>
      </c>
      <c r="C7" s="14">
        <f>'Minimax Regret'!C7</f>
        <v>12</v>
      </c>
      <c r="D7" s="17">
        <f t="shared" si="0"/>
        <v>10.399999999999999</v>
      </c>
      <c r="E7" s="25" t="str">
        <f t="shared" si="1"/>
        <v/>
      </c>
      <c r="F7" s="5"/>
    </row>
    <row r="8" spans="1:6" ht="13.5" thickBot="1" x14ac:dyDescent="0.35">
      <c r="A8" s="20" t="s">
        <v>11</v>
      </c>
      <c r="B8" s="21">
        <f>'Minimax Regret'!B8</f>
        <v>13</v>
      </c>
      <c r="C8" s="21">
        <f>'Minimax Regret'!C8</f>
        <v>11</v>
      </c>
      <c r="D8" s="26">
        <f t="shared" si="0"/>
        <v>11.8</v>
      </c>
      <c r="E8" s="25" t="str">
        <f t="shared" si="1"/>
        <v/>
      </c>
      <c r="F8" s="5"/>
    </row>
    <row r="9" spans="1:6" x14ac:dyDescent="0.25">
      <c r="B9" s="1"/>
      <c r="C9" s="1"/>
      <c r="F9" s="5"/>
    </row>
    <row r="10" spans="1:6" ht="13" x14ac:dyDescent="0.3">
      <c r="A10" s="8" t="s">
        <v>16</v>
      </c>
      <c r="B10" s="19">
        <f>'Expected Value'!B10</f>
        <v>0.4</v>
      </c>
      <c r="C10" s="19">
        <f>1-B10</f>
        <v>0.6</v>
      </c>
      <c r="D10" s="7"/>
      <c r="F10" s="5"/>
    </row>
    <row r="11" spans="1:6" ht="13" x14ac:dyDescent="0.3">
      <c r="A11" s="8"/>
      <c r="B11" s="7"/>
      <c r="C11" s="7"/>
      <c r="D11" s="7"/>
      <c r="F11" s="5"/>
    </row>
    <row r="12" spans="1:6" x14ac:dyDescent="0.25">
      <c r="B12" s="1"/>
      <c r="C12" s="1"/>
    </row>
    <row r="13" spans="1:6" ht="13" x14ac:dyDescent="0.3">
      <c r="A13" s="30"/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24"/>
  <sheetViews>
    <sheetView zoomScaleNormal="100" workbookViewId="0">
      <selection activeCell="H21" sqref="H21"/>
    </sheetView>
  </sheetViews>
  <sheetFormatPr defaultRowHeight="12.5" x14ac:dyDescent="0.25"/>
  <cols>
    <col min="1" max="1" width="18.6328125" bestFit="1" customWidth="1"/>
    <col min="2" max="2" width="13" customWidth="1"/>
    <col min="3" max="3" width="12.453125" customWidth="1"/>
    <col min="4" max="5" width="12.90625" customWidth="1"/>
  </cols>
  <sheetData>
    <row r="1" spans="1:5" ht="20.25" customHeight="1" x14ac:dyDescent="0.3">
      <c r="A1" s="9"/>
      <c r="B1" s="6"/>
      <c r="C1" s="6"/>
    </row>
    <row r="2" spans="1:5" ht="20.25" customHeight="1" x14ac:dyDescent="0.3">
      <c r="A2" s="9"/>
      <c r="B2" s="6"/>
      <c r="C2" s="6"/>
    </row>
    <row r="3" spans="1:5" ht="13" x14ac:dyDescent="0.3">
      <c r="A3" s="2" t="s">
        <v>7</v>
      </c>
      <c r="B3" s="4" t="s">
        <v>8</v>
      </c>
      <c r="C3" s="4"/>
    </row>
    <row r="4" spans="1:5" ht="13.5" thickBot="1" x14ac:dyDescent="0.35">
      <c r="A4" s="20" t="s">
        <v>9</v>
      </c>
      <c r="B4" s="20" t="s">
        <v>1</v>
      </c>
      <c r="C4" s="20" t="s">
        <v>2</v>
      </c>
      <c r="D4" s="20" t="s">
        <v>15</v>
      </c>
      <c r="E4" s="46"/>
    </row>
    <row r="5" spans="1:5" ht="13" x14ac:dyDescent="0.3">
      <c r="A5" s="8" t="s">
        <v>1</v>
      </c>
      <c r="B5" s="14">
        <f>Payoffs!B5</f>
        <v>13</v>
      </c>
      <c r="C5" s="14">
        <f>Payoffs!C5</f>
        <v>-12</v>
      </c>
      <c r="D5" s="47">
        <f>SUMPRODUCT($B$10:$C$10,B5:C5)</f>
        <v>-1.9999999999999991</v>
      </c>
      <c r="E5" s="25"/>
    </row>
    <row r="6" spans="1:5" ht="13" x14ac:dyDescent="0.3">
      <c r="A6" s="8" t="s">
        <v>2</v>
      </c>
      <c r="B6" s="14">
        <f>Payoffs!B6</f>
        <v>-8</v>
      </c>
      <c r="C6" s="14">
        <f>Payoffs!C6</f>
        <v>11</v>
      </c>
      <c r="D6" s="47">
        <f t="shared" ref="D6:D8" si="0">SUMPRODUCT($B$10:$C$10,B6:C6)</f>
        <v>3.3999999999999995</v>
      </c>
      <c r="E6" s="25"/>
    </row>
    <row r="7" spans="1:5" ht="13" x14ac:dyDescent="0.3">
      <c r="A7" s="8" t="s">
        <v>10</v>
      </c>
      <c r="B7" s="14">
        <f>Payoffs!B7</f>
        <v>5</v>
      </c>
      <c r="C7" s="14">
        <f>Payoffs!C7</f>
        <v>-1</v>
      </c>
      <c r="D7" s="47">
        <f t="shared" si="0"/>
        <v>1.4</v>
      </c>
      <c r="E7" s="25"/>
    </row>
    <row r="8" spans="1:5" ht="13.5" thickBot="1" x14ac:dyDescent="0.35">
      <c r="A8" s="20" t="s">
        <v>11</v>
      </c>
      <c r="B8" s="21">
        <f>Payoffs!B8</f>
        <v>0</v>
      </c>
      <c r="C8" s="21">
        <f>Payoffs!C8</f>
        <v>0</v>
      </c>
      <c r="D8" s="48">
        <f t="shared" si="0"/>
        <v>0</v>
      </c>
      <c r="E8" s="25"/>
    </row>
    <row r="9" spans="1:5" x14ac:dyDescent="0.25">
      <c r="A9" s="12"/>
      <c r="B9" s="1"/>
      <c r="C9" s="1"/>
    </row>
    <row r="10" spans="1:5" ht="13" x14ac:dyDescent="0.3">
      <c r="A10" s="2" t="s">
        <v>16</v>
      </c>
      <c r="B10" s="1">
        <v>0.4</v>
      </c>
      <c r="C10" s="1">
        <f>1-B10</f>
        <v>0.6</v>
      </c>
    </row>
    <row r="12" spans="1:5" ht="13" x14ac:dyDescent="0.3">
      <c r="B12" s="31" t="s">
        <v>20</v>
      </c>
      <c r="C12" s="31" t="s">
        <v>21</v>
      </c>
      <c r="D12" s="31" t="s">
        <v>22</v>
      </c>
      <c r="E12" s="31" t="s">
        <v>23</v>
      </c>
    </row>
    <row r="13" spans="1:5" ht="13" x14ac:dyDescent="0.3">
      <c r="A13" s="30" t="s">
        <v>24</v>
      </c>
      <c r="B13" s="28">
        <f>D5</f>
        <v>-1.9999999999999991</v>
      </c>
      <c r="C13" s="32">
        <f>D6</f>
        <v>3.3999999999999995</v>
      </c>
      <c r="D13" s="28">
        <f>D7</f>
        <v>1.4</v>
      </c>
      <c r="E13" s="28">
        <f>D8</f>
        <v>0</v>
      </c>
    </row>
    <row r="14" spans="1:5" x14ac:dyDescent="0.25">
      <c r="A14" s="29">
        <v>0</v>
      </c>
      <c r="B14">
        <f t="dataTable" ref="B14:E24" dt2D="0" dtr="0" r1="B10"/>
        <v>-12</v>
      </c>
      <c r="C14">
        <v>11</v>
      </c>
      <c r="D14">
        <v>-1</v>
      </c>
      <c r="E14">
        <v>0</v>
      </c>
    </row>
    <row r="15" spans="1:5" x14ac:dyDescent="0.25">
      <c r="A15" s="29">
        <f>A14+0.1</f>
        <v>0.1</v>
      </c>
      <c r="B15">
        <v>-9.5</v>
      </c>
      <c r="C15">
        <v>9.1</v>
      </c>
      <c r="D15">
        <v>-0.4</v>
      </c>
      <c r="E15">
        <v>0</v>
      </c>
    </row>
    <row r="16" spans="1:5" x14ac:dyDescent="0.25">
      <c r="A16" s="29">
        <f t="shared" ref="A16:A24" si="1">A15+0.1</f>
        <v>0.2</v>
      </c>
      <c r="B16">
        <v>-7.0000000000000018</v>
      </c>
      <c r="C16">
        <v>7.2000000000000011</v>
      </c>
      <c r="D16">
        <v>0.19999999999999996</v>
      </c>
      <c r="E16">
        <v>0</v>
      </c>
    </row>
    <row r="17" spans="1:5" x14ac:dyDescent="0.25">
      <c r="A17" s="29">
        <f t="shared" si="1"/>
        <v>0.30000000000000004</v>
      </c>
      <c r="B17">
        <v>-4.4999999999999982</v>
      </c>
      <c r="C17">
        <v>5.2999999999999989</v>
      </c>
      <c r="D17">
        <v>0.80000000000000027</v>
      </c>
      <c r="E17">
        <v>0</v>
      </c>
    </row>
    <row r="18" spans="1:5" x14ac:dyDescent="0.25">
      <c r="A18" s="29">
        <f t="shared" si="1"/>
        <v>0.4</v>
      </c>
      <c r="B18">
        <v>-1.9999999999999991</v>
      </c>
      <c r="C18">
        <v>3.3999999999999995</v>
      </c>
      <c r="D18">
        <v>1.4</v>
      </c>
      <c r="E18">
        <v>0</v>
      </c>
    </row>
    <row r="19" spans="1:5" x14ac:dyDescent="0.25">
      <c r="A19" s="29">
        <f t="shared" si="1"/>
        <v>0.5</v>
      </c>
      <c r="B19">
        <v>0.5</v>
      </c>
      <c r="C19">
        <v>1.5</v>
      </c>
      <c r="D19">
        <v>2</v>
      </c>
      <c r="E19">
        <v>0</v>
      </c>
    </row>
    <row r="20" spans="1:5" x14ac:dyDescent="0.25">
      <c r="A20" s="29">
        <f t="shared" si="1"/>
        <v>0.6</v>
      </c>
      <c r="B20">
        <v>2.9999999999999991</v>
      </c>
      <c r="C20">
        <v>-0.39999999999999947</v>
      </c>
      <c r="D20">
        <v>2.6</v>
      </c>
      <c r="E20">
        <v>0</v>
      </c>
    </row>
    <row r="21" spans="1:5" x14ac:dyDescent="0.25">
      <c r="A21" s="29">
        <f t="shared" si="1"/>
        <v>0.7</v>
      </c>
      <c r="B21">
        <v>5.4999999999999991</v>
      </c>
      <c r="C21">
        <v>-2.2999999999999989</v>
      </c>
      <c r="D21">
        <v>3.2</v>
      </c>
      <c r="E21">
        <v>0</v>
      </c>
    </row>
    <row r="22" spans="1:5" x14ac:dyDescent="0.25">
      <c r="A22" s="29">
        <f t="shared" si="1"/>
        <v>0.79999999999999993</v>
      </c>
      <c r="B22">
        <v>7.9999999999999982</v>
      </c>
      <c r="C22">
        <v>-4.1999999999999993</v>
      </c>
      <c r="D22">
        <v>3.7999999999999994</v>
      </c>
      <c r="E22">
        <v>0</v>
      </c>
    </row>
    <row r="23" spans="1:5" x14ac:dyDescent="0.25">
      <c r="A23" s="29">
        <f t="shared" si="1"/>
        <v>0.89999999999999991</v>
      </c>
      <c r="B23">
        <v>10.499999999999998</v>
      </c>
      <c r="C23">
        <v>-6.0999999999999979</v>
      </c>
      <c r="D23">
        <v>4.4000000000000004</v>
      </c>
      <c r="E23">
        <v>0</v>
      </c>
    </row>
    <row r="24" spans="1:5" x14ac:dyDescent="0.25">
      <c r="A24" s="29">
        <f t="shared" si="1"/>
        <v>0.99999999999999989</v>
      </c>
      <c r="B24">
        <v>12.999999999999998</v>
      </c>
      <c r="C24">
        <v>-7.9999999999999991</v>
      </c>
      <c r="D24">
        <v>4.9999999999999991</v>
      </c>
      <c r="E24">
        <v>0</v>
      </c>
    </row>
  </sheetData>
  <phoneticPr fontId="9" type="noConversion"/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E14"/>
  <sheetViews>
    <sheetView tabSelected="1" zoomScale="110" zoomScaleNormal="110" workbookViewId="0">
      <selection activeCell="G14" sqref="G14"/>
    </sheetView>
  </sheetViews>
  <sheetFormatPr defaultRowHeight="12.5" x14ac:dyDescent="0.25"/>
  <cols>
    <col min="1" max="1" width="23.54296875" customWidth="1"/>
    <col min="2" max="3" width="12.6328125" customWidth="1"/>
    <col min="5" max="5" width="12.453125" customWidth="1"/>
  </cols>
  <sheetData>
    <row r="1" spans="1:5" ht="20.25" customHeight="1" x14ac:dyDescent="0.3">
      <c r="A1" s="9"/>
      <c r="B1" s="6"/>
      <c r="C1" s="15"/>
    </row>
    <row r="2" spans="1:5" ht="20.25" customHeight="1" x14ac:dyDescent="0.3">
      <c r="A2" s="9"/>
      <c r="B2" s="6"/>
      <c r="C2" s="6"/>
    </row>
    <row r="3" spans="1:5" ht="13" x14ac:dyDescent="0.3">
      <c r="A3" s="2" t="s">
        <v>7</v>
      </c>
      <c r="B3" s="4" t="s">
        <v>8</v>
      </c>
      <c r="C3" s="4"/>
    </row>
    <row r="4" spans="1:5" ht="13.5" thickBot="1" x14ac:dyDescent="0.35">
      <c r="A4" s="20" t="s">
        <v>9</v>
      </c>
      <c r="B4" s="20" t="s">
        <v>1</v>
      </c>
      <c r="C4" s="20" t="s">
        <v>2</v>
      </c>
      <c r="D4" s="20" t="s">
        <v>15</v>
      </c>
      <c r="E4" s="46"/>
    </row>
    <row r="5" spans="1:5" ht="13" x14ac:dyDescent="0.3">
      <c r="A5" s="8" t="s">
        <v>1</v>
      </c>
      <c r="B5" s="14">
        <f>'Expected Value'!B5</f>
        <v>13</v>
      </c>
      <c r="C5" s="14">
        <f>'Expected Value'!C5</f>
        <v>-12</v>
      </c>
      <c r="D5" s="14">
        <f>'Expected Value'!D5</f>
        <v>-1.9999999999999991</v>
      </c>
      <c r="E5" s="25" t="str">
        <f>'Expected Value'!E5</f>
        <v/>
      </c>
    </row>
    <row r="6" spans="1:5" ht="13" x14ac:dyDescent="0.3">
      <c r="A6" s="8" t="s">
        <v>2</v>
      </c>
      <c r="B6" s="14">
        <f>'Expected Value'!B6</f>
        <v>-8</v>
      </c>
      <c r="C6" s="14">
        <f>'Expected Value'!C6</f>
        <v>11</v>
      </c>
      <c r="D6" s="14">
        <f>'Expected Value'!D6</f>
        <v>3.3999999999999995</v>
      </c>
      <c r="E6" s="25" t="str">
        <f>'Expected Value'!E6</f>
        <v>&lt;--maximum</v>
      </c>
    </row>
    <row r="7" spans="1:5" ht="13" x14ac:dyDescent="0.3">
      <c r="A7" s="8" t="s">
        <v>10</v>
      </c>
      <c r="B7" s="14">
        <f>'Expected Value'!B7</f>
        <v>5</v>
      </c>
      <c r="C7" s="14">
        <f>'Expected Value'!C7</f>
        <v>-1</v>
      </c>
      <c r="D7" s="14">
        <f>'Expected Value'!D7</f>
        <v>1.4</v>
      </c>
      <c r="E7" s="25" t="str">
        <f>'Expected Value'!E7</f>
        <v/>
      </c>
    </row>
    <row r="8" spans="1:5" ht="13.5" thickBot="1" x14ac:dyDescent="0.35">
      <c r="A8" s="20" t="s">
        <v>11</v>
      </c>
      <c r="B8" s="21">
        <f>'Expected Value'!B8</f>
        <v>0</v>
      </c>
      <c r="C8" s="21">
        <f>'Expected Value'!C8</f>
        <v>0</v>
      </c>
      <c r="D8" s="21">
        <f>'Expected Value'!D8</f>
        <v>0</v>
      </c>
      <c r="E8" s="25" t="str">
        <f>'Expected Value'!E8</f>
        <v/>
      </c>
    </row>
    <row r="9" spans="1:5" x14ac:dyDescent="0.25">
      <c r="B9" s="1"/>
      <c r="C9" s="1"/>
    </row>
    <row r="10" spans="1:5" ht="13" x14ac:dyDescent="0.3">
      <c r="A10" s="2" t="s">
        <v>16</v>
      </c>
      <c r="B10" s="1">
        <f>'Expected Regret'!B10</f>
        <v>0.4</v>
      </c>
      <c r="C10" s="1">
        <f>'Expected Regret'!C10</f>
        <v>0.6</v>
      </c>
    </row>
    <row r="11" spans="1:5" x14ac:dyDescent="0.25">
      <c r="A11" s="1"/>
      <c r="B11" s="1"/>
      <c r="C11" s="1"/>
    </row>
    <row r="12" spans="1:5" ht="26" x14ac:dyDescent="0.25">
      <c r="A12" s="27" t="s">
        <v>18</v>
      </c>
      <c r="B12" s="13">
        <f>MAX(B5:B8)</f>
        <v>13</v>
      </c>
      <c r="C12" s="13">
        <f>MAX(C5:C8)</f>
        <v>11</v>
      </c>
      <c r="D12" s="16">
        <f>SUMPRODUCT(B12:C12,$B$10:$C$10)</f>
        <v>11.8</v>
      </c>
      <c r="E12" s="18"/>
    </row>
    <row r="14" spans="1:5" ht="13" x14ac:dyDescent="0.3">
      <c r="C14" s="2" t="s">
        <v>19</v>
      </c>
      <c r="D14" s="17">
        <f>D12-MAX(D5:D8)</f>
        <v>8.4000000000000021</v>
      </c>
      <c r="E14" s="11"/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Payoffs</vt:lpstr>
      <vt:lpstr>Maximax</vt:lpstr>
      <vt:lpstr>Maximin</vt:lpstr>
      <vt:lpstr>Minimax Regret</vt:lpstr>
      <vt:lpstr>Expected Value</vt:lpstr>
      <vt:lpstr>Expected Regret</vt:lpstr>
      <vt:lpstr>EMV Sensitivity</vt:lpstr>
      <vt:lpstr>EVPI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Artemis Maddox</cp:lastModifiedBy>
  <dcterms:created xsi:type="dcterms:W3CDTF">2010-05-27T17:46:00Z</dcterms:created>
  <dcterms:modified xsi:type="dcterms:W3CDTF">2022-02-21T23:56:58Z</dcterms:modified>
</cp:coreProperties>
</file>