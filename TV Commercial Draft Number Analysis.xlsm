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6640a26e5ef3a99/Desktop/Professional/Portfolio/INFS 6333/OneDrive_1_2-27-2022/"/>
    </mc:Choice>
  </mc:AlternateContent>
  <xr:revisionPtr revIDLastSave="423" documentId="8_{F1B8FF95-9692-4C72-B47B-9E201C7D8C94}" xr6:coauthVersionLast="47" xr6:coauthVersionMax="47" xr10:uidLastSave="{11E16085-7107-4BE2-8AD1-156E739E7AA9}"/>
  <bookViews>
    <workbookView xWindow="-110" yWindow="-110" windowWidth="19420" windowHeight="10300" tabRatio="775" activeTab="1" xr2:uid="{00000000-000D-0000-FFFF-FFFF00000000}"/>
  </bookViews>
  <sheets>
    <sheet name="Guide to Sheets" sheetId="12" r:id="rId1"/>
    <sheet name="Influence Chart" sheetId="15" r:id="rId2"/>
    <sheet name="Assumptions" sheetId="17" r:id="rId3"/>
    <sheet name="Calculations" sheetId="18" r:id="rId4"/>
    <sheet name="Results" sheetId="19" r:id="rId5"/>
    <sheet name="Base-Case Analysis" sheetId="23" r:id="rId6"/>
    <sheet name="Break-Even Analysis" sheetId="21" r:id="rId7"/>
    <sheet name="What-If Scenario Summary" sheetId="25" r:id="rId8"/>
    <sheet name="Data" sheetId="28" r:id="rId9"/>
    <sheet name="Payoff Matrix" sheetId="29" r:id="rId10"/>
    <sheet name="Maximax" sheetId="30" r:id="rId11"/>
    <sheet name="Maximin" sheetId="31" r:id="rId12"/>
    <sheet name="Max Regret" sheetId="33" r:id="rId13"/>
    <sheet name="Expected Value" sheetId="32" r:id="rId14"/>
    <sheet name="Expected Regret" sheetId="34" r:id="rId15"/>
    <sheet name="Decision Tree" sheetId="35" r:id="rId16"/>
    <sheet name="CPM" sheetId="36" r:id="rId17"/>
  </sheets>
  <calcPr calcId="191028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34" l="1"/>
  <c r="D9" i="34"/>
  <c r="E9" i="34"/>
  <c r="C10" i="34"/>
  <c r="D10" i="34"/>
  <c r="E10" i="34"/>
  <c r="D8" i="34"/>
  <c r="E8" i="34"/>
  <c r="C8" i="34"/>
  <c r="G8" i="31" l="1"/>
  <c r="G9" i="31"/>
  <c r="G10" i="31"/>
  <c r="B32" i="28"/>
  <c r="C8" i="29"/>
  <c r="C8" i="32" s="1"/>
  <c r="E10" i="29"/>
  <c r="F17" i="35" s="1"/>
  <c r="E9" i="29"/>
  <c r="E8" i="29"/>
  <c r="E8" i="31" s="1"/>
  <c r="D10" i="29"/>
  <c r="D10" i="32" s="1"/>
  <c r="D9" i="29"/>
  <c r="D8" i="29"/>
  <c r="D8" i="32" s="1"/>
  <c r="C10" i="29"/>
  <c r="C10" i="31" s="1"/>
  <c r="C9" i="29"/>
  <c r="F13" i="35" s="1"/>
  <c r="B33" i="28"/>
  <c r="C29" i="28"/>
  <c r="D29" i="28"/>
  <c r="E29" i="28"/>
  <c r="F29" i="28"/>
  <c r="B29" i="28"/>
  <c r="F19" i="28"/>
  <c r="F20" i="28"/>
  <c r="F21" i="28"/>
  <c r="F22" i="28"/>
  <c r="F23" i="28"/>
  <c r="F24" i="28"/>
  <c r="F25" i="28"/>
  <c r="F26" i="28"/>
  <c r="F27" i="28"/>
  <c r="F18" i="28"/>
  <c r="E19" i="28"/>
  <c r="E20" i="28"/>
  <c r="E21" i="28"/>
  <c r="E22" i="28"/>
  <c r="E23" i="28"/>
  <c r="E24" i="28"/>
  <c r="E25" i="28"/>
  <c r="E26" i="28"/>
  <c r="E27" i="28"/>
  <c r="E18" i="28"/>
  <c r="D19" i="28"/>
  <c r="D20" i="28"/>
  <c r="D21" i="28"/>
  <c r="D22" i="28"/>
  <c r="D23" i="28"/>
  <c r="D24" i="28"/>
  <c r="D25" i="28"/>
  <c r="D26" i="28"/>
  <c r="D27" i="28"/>
  <c r="D18" i="28"/>
  <c r="C19" i="28"/>
  <c r="C20" i="28"/>
  <c r="C21" i="28"/>
  <c r="C22" i="28"/>
  <c r="C23" i="28"/>
  <c r="C24" i="28"/>
  <c r="C25" i="28"/>
  <c r="C26" i="28"/>
  <c r="C27" i="28"/>
  <c r="C18" i="28"/>
  <c r="B19" i="28"/>
  <c r="B20" i="28"/>
  <c r="B21" i="28"/>
  <c r="B22" i="28"/>
  <c r="B23" i="28"/>
  <c r="B24" i="28"/>
  <c r="B25" i="28"/>
  <c r="B26" i="28"/>
  <c r="B27" i="28"/>
  <c r="B18" i="28"/>
  <c r="F13" i="28"/>
  <c r="E13" i="28"/>
  <c r="F12" i="28"/>
  <c r="D5" i="28"/>
  <c r="F11" i="28"/>
  <c r="F10" i="28"/>
  <c r="F9" i="28"/>
  <c r="F8" i="28"/>
  <c r="F7" i="28"/>
  <c r="F6" i="28"/>
  <c r="F5" i="28"/>
  <c r="E12" i="28"/>
  <c r="E11" i="28"/>
  <c r="E10" i="28"/>
  <c r="E9" i="28"/>
  <c r="E8" i="28"/>
  <c r="E7" i="28"/>
  <c r="E6" i="28"/>
  <c r="E5" i="28"/>
  <c r="F4" i="28"/>
  <c r="E4" i="28"/>
  <c r="D13" i="28"/>
  <c r="D12" i="28"/>
  <c r="D11" i="28"/>
  <c r="D10" i="28"/>
  <c r="D9" i="28"/>
  <c r="D8" i="28"/>
  <c r="D7" i="28"/>
  <c r="D6" i="28"/>
  <c r="C13" i="28"/>
  <c r="C12" i="28"/>
  <c r="C11" i="28"/>
  <c r="C10" i="28"/>
  <c r="C9" i="28"/>
  <c r="C8" i="28"/>
  <c r="C7" i="28"/>
  <c r="C6" i="28"/>
  <c r="C5" i="28"/>
  <c r="B13" i="28"/>
  <c r="B12" i="28"/>
  <c r="B11" i="28"/>
  <c r="B10" i="28"/>
  <c r="B9" i="28"/>
  <c r="B8" i="28"/>
  <c r="B7" i="28"/>
  <c r="B6" i="28"/>
  <c r="B5" i="28"/>
  <c r="B4" i="28"/>
  <c r="E14" i="21"/>
  <c r="E17" i="21" s="1"/>
  <c r="E23" i="21" s="1"/>
  <c r="D20" i="19"/>
  <c r="C14" i="21"/>
  <c r="C17" i="21" s="1"/>
  <c r="C23" i="21" s="1"/>
  <c r="C24" i="21" s="1"/>
  <c r="C13" i="23"/>
  <c r="C16" i="23" s="1"/>
  <c r="C20" i="23" s="1"/>
  <c r="C21" i="23" s="1"/>
  <c r="C6" i="18"/>
  <c r="C7" i="18" s="1"/>
  <c r="L25" i="19"/>
  <c r="K25" i="19"/>
  <c r="J25" i="19"/>
  <c r="I25" i="19"/>
  <c r="H25" i="19"/>
  <c r="G25" i="19"/>
  <c r="F25" i="19"/>
  <c r="E25" i="19"/>
  <c r="D25" i="19"/>
  <c r="D26" i="19" s="1"/>
  <c r="M21" i="19"/>
  <c r="M23" i="19" s="1"/>
  <c r="L21" i="19"/>
  <c r="L23" i="19" s="1"/>
  <c r="K21" i="19"/>
  <c r="K23" i="19" s="1"/>
  <c r="J21" i="19"/>
  <c r="J23" i="19" s="1"/>
  <c r="I21" i="19"/>
  <c r="I23" i="19" s="1"/>
  <c r="H21" i="19"/>
  <c r="H23" i="19" s="1"/>
  <c r="G21" i="19"/>
  <c r="G23" i="19" s="1"/>
  <c r="F21" i="19"/>
  <c r="F23" i="19" s="1"/>
  <c r="E21" i="19"/>
  <c r="E23" i="19" s="1"/>
  <c r="D21" i="19"/>
  <c r="D23" i="19" s="1"/>
  <c r="M20" i="19"/>
  <c r="L20" i="19"/>
  <c r="K20" i="19"/>
  <c r="J20" i="19"/>
  <c r="I20" i="19"/>
  <c r="H20" i="19"/>
  <c r="G20" i="19"/>
  <c r="F20" i="19"/>
  <c r="E20" i="19"/>
  <c r="C5" i="19"/>
  <c r="F10" i="35" l="1"/>
  <c r="F16" i="35"/>
  <c r="E10" i="33"/>
  <c r="F12" i="35"/>
  <c r="F11" i="35"/>
  <c r="F14" i="35"/>
  <c r="F9" i="35"/>
  <c r="F15" i="35"/>
  <c r="C9" i="33"/>
  <c r="E10" i="31"/>
  <c r="D8" i="31"/>
  <c r="E10" i="32"/>
  <c r="D10" i="30"/>
  <c r="D9" i="30"/>
  <c r="C9" i="31"/>
  <c r="F9" i="34"/>
  <c r="E8" i="32"/>
  <c r="F8" i="32" s="1"/>
  <c r="C8" i="30"/>
  <c r="C9" i="32"/>
  <c r="C10" i="30"/>
  <c r="E10" i="30"/>
  <c r="D10" i="31"/>
  <c r="F10" i="31" s="1"/>
  <c r="D8" i="33"/>
  <c r="D10" i="33"/>
  <c r="D9" i="32"/>
  <c r="C10" i="33"/>
  <c r="C9" i="30"/>
  <c r="E9" i="30"/>
  <c r="E9" i="31"/>
  <c r="E8" i="33"/>
  <c r="E9" i="32"/>
  <c r="E9" i="33"/>
  <c r="C8" i="33"/>
  <c r="D8" i="30"/>
  <c r="C8" i="31"/>
  <c r="F8" i="31" s="1"/>
  <c r="D9" i="31"/>
  <c r="C10" i="32"/>
  <c r="F10" i="32" s="1"/>
  <c r="E8" i="30"/>
  <c r="D9" i="33"/>
  <c r="E25" i="21"/>
  <c r="E24" i="21"/>
  <c r="C25" i="21"/>
  <c r="E26" i="19"/>
  <c r="F26" i="19"/>
  <c r="G26" i="19"/>
  <c r="H26" i="19"/>
  <c r="I26" i="19"/>
  <c r="J26" i="19"/>
  <c r="K26" i="19"/>
  <c r="L26" i="19"/>
  <c r="C10" i="35" l="1"/>
  <c r="C11" i="35"/>
  <c r="C9" i="35"/>
  <c r="A12" i="35"/>
  <c r="C16" i="35"/>
  <c r="C17" i="35"/>
  <c r="C15" i="35"/>
  <c r="F9" i="30"/>
  <c r="F8" i="34"/>
  <c r="F10" i="34"/>
  <c r="F9" i="33"/>
  <c r="F9" i="31"/>
  <c r="F10" i="33"/>
  <c r="F10" i="30"/>
  <c r="F8" i="33"/>
  <c r="F9" i="32"/>
  <c r="F8" i="30"/>
  <c r="G10" i="34" l="1"/>
  <c r="G8" i="34"/>
  <c r="G9" i="34"/>
  <c r="G9" i="32"/>
  <c r="C12" i="35"/>
  <c r="C13" i="35"/>
  <c r="C14" i="35"/>
  <c r="G10" i="30"/>
  <c r="G8" i="33"/>
  <c r="G10" i="32"/>
  <c r="G8" i="32"/>
  <c r="G9" i="30"/>
  <c r="G10" i="33"/>
  <c r="G9" i="33"/>
  <c r="G8" i="30"/>
  <c r="E5" i="36" a="1"/>
  <c r="E5" i="36"/>
  <c r="F5" i="36"/>
  <c r="G5" i="36"/>
  <c r="H5" i="36" a="1"/>
  <c r="H5" i="36"/>
  <c r="I5" i="36"/>
  <c r="E6" i="36" a="1"/>
  <c r="E6" i="36"/>
  <c r="F6" i="36"/>
  <c r="G6" i="36"/>
  <c r="H6" i="36" a="1"/>
  <c r="H6" i="36"/>
  <c r="I6" i="36"/>
  <c r="E7" i="36" a="1"/>
  <c r="E7" i="36"/>
  <c r="F7" i="36"/>
  <c r="G7" i="36"/>
  <c r="H7" i="36" a="1"/>
  <c r="H7" i="36"/>
  <c r="I7" i="36"/>
  <c r="E8" i="36" a="1"/>
  <c r="E8" i="36"/>
  <c r="F8" i="36"/>
  <c r="G8" i="36"/>
  <c r="H8" i="36" a="1"/>
  <c r="H8" i="36"/>
  <c r="I8" i="36"/>
  <c r="E9" i="36" a="1"/>
  <c r="E9" i="36"/>
  <c r="F9" i="36"/>
  <c r="G9" i="36"/>
  <c r="H9" i="36" a="1"/>
  <c r="H9" i="36"/>
  <c r="I9" i="36"/>
  <c r="E10" i="36" a="1"/>
  <c r="E10" i="36"/>
  <c r="F10" i="36"/>
  <c r="G10" i="36"/>
  <c r="H10" i="36" a="1"/>
  <c r="H10" i="36"/>
  <c r="I10" i="36"/>
  <c r="E11" i="36" a="1"/>
  <c r="E11" i="36"/>
  <c r="F11" i="36"/>
  <c r="G11" i="36"/>
  <c r="H11" i="36" a="1"/>
  <c r="H11" i="36"/>
  <c r="I11" i="36"/>
  <c r="E12" i="36" a="1"/>
  <c r="E12" i="36"/>
  <c r="F12" i="36"/>
  <c r="G12" i="36"/>
  <c r="H12" i="36" a="1"/>
  <c r="H12" i="36"/>
  <c r="I12" i="36"/>
  <c r="E13" i="36" a="1"/>
  <c r="E13" i="36"/>
  <c r="F13" i="36"/>
  <c r="G13" i="36"/>
  <c r="H13" i="36" a="1"/>
  <c r="H13" i="36"/>
  <c r="I13" i="36"/>
  <c r="E14" i="36" a="1"/>
  <c r="E14" i="36"/>
  <c r="F14" i="36"/>
  <c r="G14" i="36"/>
  <c r="H14" i="36" a="1"/>
  <c r="H14" i="36"/>
  <c r="I14" i="36"/>
  <c r="C15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Artemis Maddox</author>
  </authors>
  <commentList>
    <comment ref="B32" authorId="0" shapeId="0" xr:uid="{DE8A4EDE-62F5-4BED-9607-E9ABE60CA02E}">
      <text>
        <r>
          <rPr>
            <b/>
            <sz val="9"/>
            <color indexed="81"/>
            <rFont val="Tahoma"/>
            <family val="2"/>
          </rPr>
          <t>Artemis Maddox: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<sst xmlns="http://schemas.openxmlformats.org/spreadsheetml/2006/main" count="259" uniqueCount="157">
  <si>
    <t>TV Commercial</t>
  </si>
  <si>
    <t>Prototype Planning Model</t>
  </si>
  <si>
    <t>INFLUENCE CHART</t>
  </si>
  <si>
    <t>ASSUMPTIONS</t>
  </si>
  <si>
    <t xml:space="preserve">Calculations </t>
  </si>
  <si>
    <t xml:space="preserve">Results </t>
  </si>
  <si>
    <t xml:space="preserve">Influence Chart </t>
  </si>
  <si>
    <t>Assumptions</t>
  </si>
  <si>
    <t>Total Monetary Budget</t>
  </si>
  <si>
    <t xml:space="preserve">1 View </t>
  </si>
  <si>
    <t>Budget Makeup (B=D+V)</t>
  </si>
  <si>
    <t>Drafts(50,000) + Views(1000)</t>
  </si>
  <si>
    <t>(D) Thousand Views lost per Draft</t>
  </si>
  <si>
    <t>Total Views for Budget (*1000)</t>
  </si>
  <si>
    <t>(IMC) Imperfect Memory Constant</t>
  </si>
  <si>
    <t>(N) Number of Drafts (Estimate)</t>
  </si>
  <si>
    <t xml:space="preserve">Uplift </t>
  </si>
  <si>
    <t>New Recall - Old Recall</t>
  </si>
  <si>
    <t>Calculations</t>
  </si>
  <si>
    <t>Recall Equations</t>
  </si>
  <si>
    <t>(A) Airing Views</t>
  </si>
  <si>
    <t>(OQE) Overall Quality Equation = (V*(D)^IMS)</t>
  </si>
  <si>
    <t>Results</t>
  </si>
  <si>
    <t>Sensitvity Analysis</t>
  </si>
  <si>
    <t>Views*1000</t>
  </si>
  <si>
    <t>Draft #</t>
  </si>
  <si>
    <t>Budget Increase Scenarios</t>
  </si>
  <si>
    <t>Uplift Comparison</t>
  </si>
  <si>
    <t>Unlimited Budget</t>
  </si>
  <si>
    <t>Limited Budget</t>
  </si>
  <si>
    <t>Percentage Calculation</t>
  </si>
  <si>
    <t xml:space="preserve">Budget Increase </t>
  </si>
  <si>
    <t>Recall Uplift per 5% Added to Airing @ 9 drafts</t>
  </si>
  <si>
    <t>Difference</t>
  </si>
  <si>
    <t>Parameters</t>
  </si>
  <si>
    <t> </t>
  </si>
  <si>
    <t>Budget Makeup</t>
  </si>
  <si>
    <t>Drafts + Views(1000)</t>
  </si>
  <si>
    <t>Total Views for Budget (1000)</t>
  </si>
  <si>
    <t>(IMS) Imperfect Memory Constant</t>
  </si>
  <si>
    <t>Original Ad Recall (1 Draft)</t>
  </si>
  <si>
    <t>Decisions</t>
  </si>
  <si>
    <t xml:space="preserve">Base Case: 1 Draft, 95% of Budget to Airing </t>
  </si>
  <si>
    <t>Number of Drafts</t>
  </si>
  <si>
    <t>Airing Views</t>
  </si>
  <si>
    <t>Output</t>
  </si>
  <si>
    <t>Recall Estimate = Airing Views * Number of drats ^ IMC</t>
  </si>
  <si>
    <t>Uplift Calculations</t>
  </si>
  <si>
    <t>Recall Estimate Uplift</t>
  </si>
  <si>
    <t>Break-Even: Highest Recal Estimate for Given Budget</t>
  </si>
  <si>
    <t>At least 200%</t>
  </si>
  <si>
    <t>Minimum Drafts for 200% Recall Uplift</t>
  </si>
  <si>
    <t>Recall Estimate = Airing Views * Number of drafts ^ IMC</t>
  </si>
  <si>
    <t>$B$5</t>
  </si>
  <si>
    <t>$B$22</t>
  </si>
  <si>
    <t>$B$23</t>
  </si>
  <si>
    <t>Increased Budget</t>
  </si>
  <si>
    <t>Created by Artemis Maddox on 2/15/2022</t>
  </si>
  <si>
    <t>Decreased Budget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</si>
  <si>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</si>
  <si>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</si>
  <si>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</si>
  <si>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</si>
  <si>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</si>
  <si>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</si>
  <si>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</si>
  <si>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Recall Estimate</t>
  </si>
  <si>
    <t>Percent Uplift</t>
  </si>
  <si>
    <t>Total Budget in Thousands</t>
  </si>
  <si>
    <t>Base-Case Analysis</t>
  </si>
  <si>
    <t>Break-Even Analysis</t>
  </si>
  <si>
    <t>What-If Scenario</t>
  </si>
  <si>
    <t>Payoff Matrix</t>
  </si>
  <si>
    <t>Decision Tree</t>
  </si>
  <si>
    <t>Draft Number</t>
  </si>
  <si>
    <t>Fixed Budget</t>
  </si>
  <si>
    <t>Increase Budget 5%</t>
  </si>
  <si>
    <t>Increase Budget 10%</t>
  </si>
  <si>
    <t>Decrease Budget 5%</t>
  </si>
  <si>
    <t>Decrease Budget 10%</t>
  </si>
  <si>
    <t>Payoff = Recall Estimate</t>
  </si>
  <si>
    <t>Budget (in Thousands)</t>
  </si>
  <si>
    <t>Adjusted: RE/$</t>
  </si>
  <si>
    <t>Data for Payoff Matrix: Adding to the Budget (Extra Views)</t>
  </si>
  <si>
    <t>Deicisions: # Drafts 1, 5, 9</t>
  </si>
  <si>
    <t>Average Change in RE due to Budget:</t>
  </si>
  <si>
    <t>Double the increase in budget brings less than double the increase in RE</t>
  </si>
  <si>
    <t>Double the decrease in budget brings more than double the decrease in RE</t>
  </si>
  <si>
    <t>Thus, Budget +/-5%</t>
  </si>
  <si>
    <t>Budget: Fixed, Increase 5%, Decrease 5%</t>
  </si>
  <si>
    <t>Drafts</t>
  </si>
  <si>
    <t>Budget +5%</t>
  </si>
  <si>
    <t>Budget -5%</t>
  </si>
  <si>
    <t>Recall Estimate (Adjusted)</t>
  </si>
  <si>
    <t xml:space="preserve">Max </t>
  </si>
  <si>
    <t>Min</t>
  </si>
  <si>
    <t>EMV</t>
  </si>
  <si>
    <t>Which?</t>
  </si>
  <si>
    <t>of increased/decreased airing views after drafts commissioned</t>
  </si>
  <si>
    <t>EOL</t>
  </si>
  <si>
    <t xml:space="preserve">Which? </t>
  </si>
  <si>
    <t>Budget Variance</t>
  </si>
  <si>
    <t>Increasing</t>
  </si>
  <si>
    <t>Decreasing</t>
  </si>
  <si>
    <t>Budget</t>
  </si>
  <si>
    <t>B +5%</t>
  </si>
  <si>
    <t>Payoff</t>
  </si>
  <si>
    <t>B -5%</t>
  </si>
  <si>
    <t>B +/-0%</t>
  </si>
  <si>
    <t>Probability</t>
  </si>
  <si>
    <t>Max EMV</t>
  </si>
  <si>
    <t>1. How Many Drafts to Commission</t>
  </si>
  <si>
    <t>2. How Much Budget will be Approved</t>
  </si>
  <si>
    <t>Decision and uncertainties in order:</t>
  </si>
  <si>
    <t xml:space="preserve">Data </t>
  </si>
  <si>
    <t xml:space="preserve">Payoff Matrix </t>
  </si>
  <si>
    <t>Maximax</t>
  </si>
  <si>
    <t>Maximin</t>
  </si>
  <si>
    <t xml:space="preserve">Max Regret </t>
  </si>
  <si>
    <t xml:space="preserve">Expected Regret </t>
  </si>
  <si>
    <t xml:space="preserve">Decision Tree </t>
  </si>
  <si>
    <t>Expected Value</t>
  </si>
  <si>
    <t>Activity</t>
  </si>
  <si>
    <t>Description</t>
  </si>
  <si>
    <t>Predecessor</t>
  </si>
  <si>
    <t>Time</t>
  </si>
  <si>
    <t>EST</t>
  </si>
  <si>
    <t>EFT</t>
  </si>
  <si>
    <t>LST</t>
  </si>
  <si>
    <t>LFT</t>
  </si>
  <si>
    <t>Slack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</si>
  <si>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</si>
  <si>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</si>
  <si>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</si>
  <si>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</si>
  <si>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</si>
  <si>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</si>
  <si>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</si>
  <si>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</si>
  <si>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</si>
  <si>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</si>
  <si>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Decide Number of Drafts to Commission</t>
  </si>
  <si>
    <t>Recruit Agencies to Commission</t>
  </si>
  <si>
    <t>Commission A</t>
  </si>
  <si>
    <t>Commission B</t>
  </si>
  <si>
    <t>Commission C</t>
  </si>
  <si>
    <t>Commission D</t>
  </si>
  <si>
    <t>Commission E</t>
  </si>
  <si>
    <t>Test Audience</t>
  </si>
  <si>
    <t>Executive Review</t>
  </si>
  <si>
    <t>C,D,E,F,G</t>
  </si>
  <si>
    <t>Initial Run</t>
  </si>
  <si>
    <t>C,D,E,F,G,H</t>
  </si>
  <si>
    <t>Project Management: Critical Path Method</t>
  </si>
  <si>
    <t>This chart is rendered for 5 drafts with an average completion time of 4 weeks, ranging from 2 to 6 weeks, but can be adapted to a different number of drafts as needed.</t>
  </si>
  <si>
    <t xml:space="preserve">Probability: </t>
  </si>
  <si>
    <t>Probability: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</si>
</sst>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164" formatCode="&quot;$&quot;#,##0"/>
    <numFmt numFmtId="165" formatCode="#,##0.000_);[Red]\(#,##0.000\)"/>
    <numFmt numFmtId="166" formatCode="0.000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charset val="1"/>
      <scheme val="minor"/>
    </font>
    <font>
      <b/>
      <u/>
      <sz val="14"/>
      <color indexed="12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color rgb="FF002060"/>
      <name val="Arial"/>
      <family val="2"/>
    </font>
    <font>
      <b/>
      <sz val="10"/>
      <color rgb="FF002060"/>
      <name val="Arial"/>
      <family val="2"/>
    </font>
    <font>
      <b/>
      <sz val="10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theme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74">
    <xf numFmtId="0" fontId="0" fillId="0" borderId="0" xfId="0"/>
    <xf numFmtId="0" fontId="4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1" fillId="0" borderId="0" xfId="0" applyFont="1" applyAlignment="1">
      <alignment vertical="center"/>
    </xf>
    <xf numFmtId="0" fontId="14" fillId="0" borderId="0" xfId="1" applyFont="1" applyAlignment="1" applyProtection="1"/>
    <xf numFmtId="0" fontId="0" fillId="0" borderId="0" xfId="0" applyFill="1" applyBorder="1" applyAlignment="1"/>
    <xf numFmtId="3" fontId="0" fillId="0" borderId="0" xfId="0" applyNumberFormat="1" applyFill="1" applyBorder="1" applyAlignment="1"/>
    <xf numFmtId="10" fontId="0" fillId="0" borderId="16" xfId="0" applyNumberFormat="1" applyFill="1" applyBorder="1" applyAlignment="1"/>
    <xf numFmtId="0" fontId="20" fillId="2" borderId="7" xfId="0" applyFont="1" applyFill="1" applyBorder="1" applyAlignment="1">
      <alignment horizontal="left"/>
    </xf>
    <xf numFmtId="0" fontId="20" fillId="2" borderId="15" xfId="0" applyFont="1" applyFill="1" applyBorder="1" applyAlignment="1">
      <alignment horizontal="left"/>
    </xf>
    <xf numFmtId="0" fontId="0" fillId="0" borderId="10" xfId="0" applyFill="1" applyBorder="1" applyAlignment="1"/>
    <xf numFmtId="0" fontId="21" fillId="3" borderId="0" xfId="0" applyFont="1" applyFill="1" applyBorder="1" applyAlignment="1">
      <alignment horizontal="left"/>
    </xf>
    <xf numFmtId="0" fontId="22" fillId="3" borderId="10" xfId="0" applyFont="1" applyFill="1" applyBorder="1" applyAlignment="1">
      <alignment horizontal="left"/>
    </xf>
    <xf numFmtId="0" fontId="21" fillId="3" borderId="16" xfId="0" applyFont="1" applyFill="1" applyBorder="1" applyAlignment="1">
      <alignment horizontal="left"/>
    </xf>
    <xf numFmtId="0" fontId="23" fillId="2" borderId="15" xfId="0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3" fontId="0" fillId="4" borderId="0" xfId="0" applyNumberFormat="1" applyFill="1" applyBorder="1" applyAlignment="1"/>
    <xf numFmtId="0" fontId="6" fillId="0" borderId="0" xfId="0" applyFont="1" applyFill="1" applyBorder="1" applyAlignment="1">
      <alignment vertical="top" wrapText="1"/>
    </xf>
    <xf numFmtId="9" fontId="0" fillId="0" borderId="10" xfId="0" applyNumberFormat="1" applyFill="1" applyBorder="1" applyAlignment="1"/>
    <xf numFmtId="0" fontId="7" fillId="0" borderId="0" xfId="0" quotePrefix="1" applyFont="1" applyAlignment="1">
      <alignment horizontal="left"/>
    </xf>
    <xf numFmtId="1" fontId="0" fillId="0" borderId="0" xfId="0" applyNumberFormat="1"/>
    <xf numFmtId="0" fontId="24" fillId="0" borderId="0" xfId="0" applyFont="1"/>
    <xf numFmtId="165" fontId="0" fillId="0" borderId="0" xfId="0" applyNumberFormat="1"/>
    <xf numFmtId="166" fontId="0" fillId="0" borderId="0" xfId="0" applyNumberFormat="1"/>
    <xf numFmtId="0" fontId="25" fillId="0" borderId="0" xfId="0" applyFont="1"/>
    <xf numFmtId="6" fontId="25" fillId="0" borderId="0" xfId="0" applyNumberFormat="1" applyFont="1"/>
    <xf numFmtId="49" fontId="4" fillId="0" borderId="0" xfId="0" applyNumberFormat="1" applyFont="1"/>
    <xf numFmtId="0" fontId="0" fillId="5" borderId="0" xfId="0" applyFill="1"/>
    <xf numFmtId="0" fontId="24" fillId="5" borderId="0" xfId="0" applyFont="1" applyFill="1"/>
    <xf numFmtId="166" fontId="0" fillId="5" borderId="0" xfId="0" applyNumberFormat="1" applyFill="1"/>
    <xf numFmtId="0" fontId="14" fillId="0" borderId="0" xfId="0" applyFont="1"/>
    <xf numFmtId="0" fontId="4" fillId="0" borderId="1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/>
    <xf numFmtId="0" fontId="32" fillId="0" borderId="15" xfId="0" applyFont="1" applyBorder="1"/>
    <xf numFmtId="0" fontId="7" fillId="0" borderId="0" xfId="0" applyFont="1" applyAlignment="1">
      <alignment horizontal="left"/>
    </xf>
    <xf numFmtId="0" fontId="8" fillId="6" borderId="0" xfId="0" applyFont="1" applyFill="1"/>
    <xf numFmtId="0" fontId="0" fillId="6" borderId="0" xfId="0" applyFill="1"/>
    <xf numFmtId="0" fontId="4" fillId="6" borderId="0" xfId="0" applyFont="1" applyFill="1"/>
    <xf numFmtId="0" fontId="10" fillId="6" borderId="0" xfId="2" applyFont="1" applyFill="1"/>
    <xf numFmtId="0" fontId="3" fillId="6" borderId="0" xfId="2" applyFill="1"/>
    <xf numFmtId="3" fontId="3" fillId="6" borderId="0" xfId="2" applyNumberFormat="1" applyFill="1"/>
    <xf numFmtId="0" fontId="3" fillId="6" borderId="1" xfId="2" applyFill="1" applyBorder="1"/>
    <xf numFmtId="1" fontId="3" fillId="6" borderId="5" xfId="2" applyNumberFormat="1" applyFill="1" applyBorder="1"/>
    <xf numFmtId="0" fontId="3" fillId="6" borderId="5" xfId="2" applyFill="1" applyBorder="1"/>
    <xf numFmtId="0" fontId="3" fillId="6" borderId="2" xfId="2" applyFill="1" applyBorder="1"/>
    <xf numFmtId="0" fontId="3" fillId="6" borderId="3" xfId="2" applyFill="1" applyBorder="1"/>
    <xf numFmtId="1" fontId="3" fillId="6" borderId="0" xfId="2" applyNumberFormat="1" applyFill="1"/>
    <xf numFmtId="1" fontId="10" fillId="6" borderId="0" xfId="2" applyNumberFormat="1" applyFont="1" applyFill="1"/>
    <xf numFmtId="1" fontId="3" fillId="6" borderId="4" xfId="2" applyNumberFormat="1" applyFill="1" applyBorder="1"/>
    <xf numFmtId="0" fontId="3" fillId="6" borderId="6" xfId="2" applyFill="1" applyBorder="1"/>
    <xf numFmtId="1" fontId="3" fillId="6" borderId="7" xfId="2" applyNumberFormat="1" applyFill="1" applyBorder="1"/>
    <xf numFmtId="1" fontId="10" fillId="6" borderId="8" xfId="2" applyNumberFormat="1" applyFont="1" applyFill="1" applyBorder="1"/>
    <xf numFmtId="0" fontId="3" fillId="6" borderId="9" xfId="2" applyFill="1" applyBorder="1" applyAlignment="1">
      <alignment wrapText="1"/>
    </xf>
    <xf numFmtId="1" fontId="3" fillId="6" borderId="9" xfId="2" applyNumberFormat="1" applyFill="1" applyBorder="1"/>
    <xf numFmtId="1" fontId="3" fillId="6" borderId="10" xfId="2" applyNumberFormat="1" applyFill="1" applyBorder="1"/>
    <xf numFmtId="1" fontId="3" fillId="6" borderId="11" xfId="2" applyNumberFormat="1" applyFill="1" applyBorder="1"/>
    <xf numFmtId="0" fontId="3" fillId="6" borderId="6" xfId="2" applyFill="1" applyBorder="1" applyAlignment="1">
      <alignment wrapText="1"/>
    </xf>
    <xf numFmtId="1" fontId="12" fillId="6" borderId="6" xfId="2" applyNumberFormat="1" applyFont="1" applyFill="1" applyBorder="1"/>
    <xf numFmtId="1" fontId="12" fillId="6" borderId="7" xfId="2" applyNumberFormat="1" applyFont="1" applyFill="1" applyBorder="1"/>
    <xf numFmtId="1" fontId="12" fillId="6" borderId="8" xfId="2" applyNumberFormat="1" applyFont="1" applyFill="1" applyBorder="1"/>
    <xf numFmtId="0" fontId="3" fillId="6" borderId="12" xfId="2" applyFill="1" applyBorder="1" applyAlignment="1">
      <alignment horizontal="center" wrapText="1"/>
    </xf>
    <xf numFmtId="10" fontId="3" fillId="6" borderId="9" xfId="2" applyNumberFormat="1" applyFill="1" applyBorder="1"/>
    <xf numFmtId="10" fontId="3" fillId="6" borderId="10" xfId="2" applyNumberFormat="1" applyFill="1" applyBorder="1"/>
    <xf numFmtId="10" fontId="3" fillId="6" borderId="11" xfId="2" applyNumberFormat="1" applyFill="1" applyBorder="1"/>
    <xf numFmtId="0" fontId="3" fillId="6" borderId="12" xfId="2" applyFill="1" applyBorder="1" applyAlignment="1">
      <alignment horizontal="left" vertical="center" wrapText="1"/>
    </xf>
    <xf numFmtId="0" fontId="3" fillId="6" borderId="11" xfId="2" applyFill="1" applyBorder="1"/>
    <xf numFmtId="0" fontId="3" fillId="6" borderId="13" xfId="2" applyFill="1" applyBorder="1"/>
    <xf numFmtId="10" fontId="3" fillId="6" borderId="7" xfId="2" applyNumberFormat="1" applyFill="1" applyBorder="1"/>
    <xf numFmtId="0" fontId="3" fillId="6" borderId="8" xfId="2" applyFill="1" applyBorder="1"/>
    <xf numFmtId="2" fontId="15" fillId="6" borderId="0" xfId="2" applyNumberFormat="1" applyFont="1" applyFill="1"/>
    <xf numFmtId="2" fontId="10" fillId="6" borderId="0" xfId="2" applyNumberFormat="1" applyFont="1" applyFill="1"/>
    <xf numFmtId="2" fontId="3" fillId="6" borderId="0" xfId="2" applyNumberFormat="1" applyFill="1"/>
    <xf numFmtId="0" fontId="19" fillId="6" borderId="12" xfId="0" applyFont="1" applyFill="1" applyBorder="1"/>
    <xf numFmtId="164" fontId="16" fillId="6" borderId="0" xfId="2" applyNumberFormat="1" applyFont="1" applyFill="1"/>
    <xf numFmtId="2" fontId="16" fillId="6" borderId="0" xfId="2" applyNumberFormat="1" applyFont="1" applyFill="1" applyAlignment="1">
      <alignment horizontal="right"/>
    </xf>
    <xf numFmtId="3" fontId="19" fillId="6" borderId="12" xfId="0" applyNumberFormat="1" applyFont="1" applyFill="1" applyBorder="1"/>
    <xf numFmtId="3" fontId="16" fillId="6" borderId="0" xfId="2" applyNumberFormat="1" applyFont="1" applyFill="1"/>
    <xf numFmtId="4" fontId="16" fillId="6" borderId="0" xfId="2" applyNumberFormat="1" applyFont="1" applyFill="1"/>
    <xf numFmtId="0" fontId="12" fillId="6" borderId="0" xfId="2" applyFont="1" applyFill="1"/>
    <xf numFmtId="3" fontId="3" fillId="6" borderId="0" xfId="2" applyNumberFormat="1" applyFill="1" applyAlignment="1">
      <alignment horizontal="right"/>
    </xf>
    <xf numFmtId="3" fontId="1" fillId="6" borderId="12" xfId="2" applyNumberFormat="1" applyFont="1" applyFill="1" applyBorder="1" applyAlignment="1">
      <alignment horizontal="right"/>
    </xf>
    <xf numFmtId="0" fontId="12" fillId="6" borderId="12" xfId="2" applyFont="1" applyFill="1" applyBorder="1"/>
    <xf numFmtId="3" fontId="1" fillId="6" borderId="0" xfId="2" applyNumberFormat="1" applyFont="1" applyFill="1" applyAlignment="1">
      <alignment horizontal="right"/>
    </xf>
    <xf numFmtId="0" fontId="3" fillId="6" borderId="12" xfId="2" applyFill="1" applyBorder="1"/>
    <xf numFmtId="3" fontId="3" fillId="6" borderId="12" xfId="2" applyNumberFormat="1" applyFill="1" applyBorder="1"/>
    <xf numFmtId="10" fontId="3" fillId="6" borderId="12" xfId="2" applyNumberFormat="1" applyFill="1" applyBorder="1"/>
    <xf numFmtId="0" fontId="24" fillId="6" borderId="0" xfId="0" applyFont="1" applyFill="1"/>
    <xf numFmtId="0" fontId="25" fillId="6" borderId="12" xfId="0" applyFont="1" applyFill="1" applyBorder="1"/>
    <xf numFmtId="166" fontId="0" fillId="6" borderId="12" xfId="0" applyNumberFormat="1" applyFill="1" applyBorder="1"/>
    <xf numFmtId="0" fontId="25" fillId="6" borderId="0" xfId="0" applyFont="1" applyFill="1"/>
    <xf numFmtId="0" fontId="28" fillId="6" borderId="0" xfId="0" applyFont="1" applyFill="1"/>
    <xf numFmtId="0" fontId="26" fillId="6" borderId="0" xfId="0" applyFont="1" applyFill="1"/>
    <xf numFmtId="0" fontId="27" fillId="6" borderId="0" xfId="0" applyFont="1" applyFill="1"/>
    <xf numFmtId="0" fontId="19" fillId="7" borderId="3" xfId="0" applyFont="1" applyFill="1" applyBorder="1"/>
    <xf numFmtId="0" fontId="19" fillId="7" borderId="4" xfId="0" applyFont="1" applyFill="1" applyBorder="1"/>
    <xf numFmtId="3" fontId="19" fillId="7" borderId="4" xfId="0" applyNumberFormat="1" applyFont="1" applyFill="1" applyBorder="1"/>
    <xf numFmtId="0" fontId="3" fillId="6" borderId="0" xfId="2" applyFill="1" applyBorder="1"/>
    <xf numFmtId="0" fontId="0" fillId="6" borderId="0" xfId="0" applyFill="1" applyBorder="1"/>
    <xf numFmtId="10" fontId="3" fillId="6" borderId="0" xfId="2" applyNumberFormat="1" applyFill="1" applyBorder="1"/>
    <xf numFmtId="1" fontId="3" fillId="6" borderId="0" xfId="2" applyNumberFormat="1" applyFill="1" applyBorder="1"/>
    <xf numFmtId="1" fontId="10" fillId="6" borderId="0" xfId="2" applyNumberFormat="1" applyFont="1" applyFill="1" applyBorder="1"/>
    <xf numFmtId="0" fontId="19" fillId="7" borderId="0" xfId="0" applyFont="1" applyFill="1" applyBorder="1"/>
    <xf numFmtId="2" fontId="3" fillId="6" borderId="3" xfId="2" applyNumberFormat="1" applyFill="1" applyBorder="1"/>
    <xf numFmtId="3" fontId="16" fillId="6" borderId="4" xfId="2" applyNumberFormat="1" applyFont="1" applyFill="1" applyBorder="1"/>
    <xf numFmtId="0" fontId="12" fillId="6" borderId="3" xfId="2" applyFont="1" applyFill="1" applyBorder="1"/>
    <xf numFmtId="3" fontId="3" fillId="6" borderId="4" xfId="2" applyNumberFormat="1" applyFill="1" applyBorder="1" applyAlignment="1">
      <alignment horizontal="right"/>
    </xf>
    <xf numFmtId="0" fontId="17" fillId="6" borderId="3" xfId="2" applyFont="1" applyFill="1" applyBorder="1"/>
    <xf numFmtId="0" fontId="0" fillId="6" borderId="4" xfId="0" applyFill="1" applyBorder="1"/>
    <xf numFmtId="0" fontId="0" fillId="6" borderId="3" xfId="0" applyFill="1" applyBorder="1"/>
    <xf numFmtId="0" fontId="10" fillId="6" borderId="3" xfId="2" applyFont="1" applyFill="1" applyBorder="1"/>
    <xf numFmtId="10" fontId="0" fillId="6" borderId="4" xfId="0" applyNumberFormat="1" applyFill="1" applyBorder="1"/>
    <xf numFmtId="0" fontId="2" fillId="6" borderId="3" xfId="2" applyFont="1" applyFill="1" applyBorder="1"/>
    <xf numFmtId="10" fontId="3" fillId="6" borderId="4" xfId="2" applyNumberFormat="1" applyFill="1" applyBorder="1"/>
    <xf numFmtId="3" fontId="19" fillId="7" borderId="0" xfId="0" applyNumberFormat="1" applyFont="1" applyFill="1" applyBorder="1"/>
    <xf numFmtId="3" fontId="16" fillId="6" borderId="0" xfId="2" applyNumberFormat="1" applyFont="1" applyFill="1" applyBorder="1"/>
    <xf numFmtId="3" fontId="3" fillId="6" borderId="0" xfId="2" applyNumberFormat="1" applyFill="1" applyBorder="1" applyAlignment="1">
      <alignment horizontal="right"/>
    </xf>
    <xf numFmtId="10" fontId="0" fillId="6" borderId="0" xfId="0" applyNumberFormat="1" applyFill="1" applyBorder="1"/>
    <xf numFmtId="0" fontId="3" fillId="6" borderId="7" xfId="2" applyFill="1" applyBorder="1"/>
    <xf numFmtId="4" fontId="3" fillId="6" borderId="4" xfId="2" applyNumberFormat="1" applyFill="1" applyBorder="1" applyAlignment="1">
      <alignment horizontal="right"/>
    </xf>
    <xf numFmtId="1" fontId="3" fillId="6" borderId="6" xfId="2" applyNumberFormat="1" applyFill="1" applyBorder="1"/>
    <xf numFmtId="1" fontId="3" fillId="6" borderId="8" xfId="2" applyNumberFormat="1" applyFill="1" applyBorder="1"/>
    <xf numFmtId="0" fontId="18" fillId="7" borderId="3" xfId="0" applyFont="1" applyFill="1" applyBorder="1"/>
    <xf numFmtId="2" fontId="10" fillId="6" borderId="9" xfId="2" applyNumberFormat="1" applyFont="1" applyFill="1" applyBorder="1"/>
    <xf numFmtId="2" fontId="3" fillId="6" borderId="10" xfId="2" applyNumberFormat="1" applyFill="1" applyBorder="1"/>
    <xf numFmtId="0" fontId="4" fillId="6" borderId="9" xfId="0" applyFont="1" applyFill="1" applyBorder="1"/>
    <xf numFmtId="0" fontId="0" fillId="6" borderId="11" xfId="0" applyFill="1" applyBorder="1"/>
    <xf numFmtId="0" fontId="0" fillId="0" borderId="0" xfId="0" applyFill="1"/>
    <xf numFmtId="0" fontId="3" fillId="0" borderId="17" xfId="2" applyFill="1" applyBorder="1"/>
    <xf numFmtId="3" fontId="3" fillId="0" borderId="17" xfId="2" applyNumberFormat="1" applyFill="1" applyBorder="1"/>
    <xf numFmtId="0" fontId="3" fillId="0" borderId="14" xfId="2" applyFill="1" applyBorder="1"/>
    <xf numFmtId="3" fontId="3" fillId="0" borderId="14" xfId="2" applyNumberFormat="1" applyFill="1" applyBorder="1"/>
    <xf numFmtId="0" fontId="12" fillId="0" borderId="0" xfId="2" applyFont="1" applyFill="1"/>
    <xf numFmtId="0" fontId="3" fillId="0" borderId="0" xfId="2" applyFill="1"/>
    <xf numFmtId="0" fontId="13" fillId="0" borderId="0" xfId="2" applyFont="1" applyFill="1"/>
    <xf numFmtId="0" fontId="12" fillId="0" borderId="0" xfId="2" applyFont="1" applyFill="1" applyBorder="1"/>
    <xf numFmtId="2" fontId="3" fillId="0" borderId="0" xfId="2" applyNumberFormat="1" applyFill="1"/>
    <xf numFmtId="2" fontId="10" fillId="0" borderId="0" xfId="2" applyNumberFormat="1" applyFont="1" applyFill="1"/>
    <xf numFmtId="0" fontId="3" fillId="0" borderId="12" xfId="2" applyFill="1" applyBorder="1"/>
    <xf numFmtId="164" fontId="16" fillId="0" borderId="12" xfId="2" applyNumberFormat="1" applyFont="1" applyFill="1" applyBorder="1"/>
    <xf numFmtId="164" fontId="3" fillId="0" borderId="0" xfId="2" applyNumberFormat="1" applyFill="1"/>
    <xf numFmtId="164" fontId="16" fillId="0" borderId="17" xfId="2" applyNumberFormat="1" applyFont="1" applyFill="1" applyBorder="1"/>
    <xf numFmtId="2" fontId="3" fillId="0" borderId="14" xfId="2" applyNumberFormat="1" applyFill="1" applyBorder="1"/>
    <xf numFmtId="2" fontId="16" fillId="0" borderId="14" xfId="2" applyNumberFormat="1" applyFont="1" applyFill="1" applyBorder="1" applyAlignment="1">
      <alignment horizontal="right"/>
    </xf>
    <xf numFmtId="3" fontId="16" fillId="0" borderId="14" xfId="2" applyNumberFormat="1" applyFont="1" applyFill="1" applyBorder="1"/>
    <xf numFmtId="3" fontId="3" fillId="0" borderId="0" xfId="2" applyNumberFormat="1" applyFill="1"/>
    <xf numFmtId="4" fontId="16" fillId="0" borderId="14" xfId="2" applyNumberFormat="1" applyFont="1" applyFill="1" applyBorder="1"/>
    <xf numFmtId="4" fontId="3" fillId="0" borderId="0" xfId="2" applyNumberFormat="1" applyFill="1"/>
    <xf numFmtId="0" fontId="12" fillId="0" borderId="14" xfId="2" applyFont="1" applyFill="1" applyBorder="1"/>
    <xf numFmtId="3" fontId="3" fillId="0" borderId="14" xfId="2" applyNumberFormat="1" applyFill="1" applyBorder="1" applyAlignment="1">
      <alignment horizontal="right"/>
    </xf>
    <xf numFmtId="0" fontId="3" fillId="6" borderId="0" xfId="2" applyFill="1" applyAlignment="1">
      <alignment wrapText="1"/>
    </xf>
    <xf numFmtId="1" fontId="12" fillId="6" borderId="0" xfId="2" applyNumberFormat="1" applyFont="1" applyFill="1"/>
    <xf numFmtId="0" fontId="3" fillId="6" borderId="0" xfId="2" applyFill="1" applyAlignment="1">
      <alignment horizontal="center" wrapText="1"/>
    </xf>
    <xf numFmtId="10" fontId="3" fillId="6" borderId="0" xfId="2" applyNumberFormat="1" applyFill="1"/>
    <xf numFmtId="0" fontId="3" fillId="6" borderId="0" xfId="2" applyFill="1" applyAlignment="1">
      <alignment horizontal="left" vertical="center" wrapText="1"/>
    </xf>
    <xf numFmtId="0" fontId="33" fillId="6" borderId="0" xfId="0" applyFont="1" applyFill="1"/>
    <xf numFmtId="2" fontId="15" fillId="0" borderId="1" xfId="2" applyNumberFormat="1" applyFont="1" applyFill="1" applyBorder="1" applyAlignment="1">
      <alignment horizontal="center" vertical="center"/>
    </xf>
    <xf numFmtId="2" fontId="15" fillId="0" borderId="2" xfId="2" applyNumberFormat="1" applyFont="1" applyFill="1" applyBorder="1" applyAlignment="1">
      <alignment horizontal="center" vertical="center"/>
    </xf>
    <xf numFmtId="2" fontId="15" fillId="0" borderId="6" xfId="2" applyNumberFormat="1" applyFont="1" applyFill="1" applyBorder="1" applyAlignment="1">
      <alignment horizontal="center" vertical="center"/>
    </xf>
    <xf numFmtId="2" fontId="15" fillId="0" borderId="8" xfId="2" applyNumberFormat="1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10" fillId="0" borderId="12" xfId="2" applyFont="1" applyFill="1" applyBorder="1" applyAlignment="1">
      <alignment horizontal="left"/>
    </xf>
    <xf numFmtId="0" fontId="18" fillId="6" borderId="9" xfId="0" applyFont="1" applyFill="1" applyBorder="1" applyAlignment="1">
      <alignment horizontal="left"/>
    </xf>
    <xf numFmtId="0" fontId="18" fillId="6" borderId="11" xfId="0" applyFont="1" applyFill="1" applyBorder="1" applyAlignment="1">
      <alignment horizontal="left"/>
    </xf>
    <xf numFmtId="0" fontId="17" fillId="6" borderId="9" xfId="2" applyFont="1" applyFill="1" applyBorder="1" applyAlignment="1">
      <alignment horizontal="left"/>
    </xf>
    <xf numFmtId="0" fontId="17" fillId="6" borderId="11" xfId="2" applyFont="1" applyFill="1" applyBorder="1" applyAlignment="1">
      <alignment horizontal="left"/>
    </xf>
    <xf numFmtId="0" fontId="10" fillId="6" borderId="9" xfId="2" applyFont="1" applyFill="1" applyBorder="1" applyAlignment="1">
      <alignment horizontal="left"/>
    </xf>
    <xf numFmtId="0" fontId="10" fillId="6" borderId="11" xfId="2" applyFont="1" applyFill="1" applyBorder="1" applyAlignment="1">
      <alignment horizontal="left"/>
    </xf>
  </cellXfs>
  <cellStyles count="3">
    <cellStyle name="Hyperlink" xfId="1" builtinId="8"/>
    <cellStyle name="Normal" xfId="0" builtinId="0"/>
    <cellStyle name="Normal 2" xfId="2" xr:uid="{839F00E0-6900-42CB-AD52-A95CF69A8E9F}"/>
  </cellStyles>
  <dxfs count="4"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1143000</xdr:colOff>
      <xdr:row>9</xdr:row>
      <xdr:rowOff>68035</xdr:rowOff>
    </xdr:from>
    <xdr:to>
      <xdr:col>2</xdr:col>
      <xdr:colOff>2268</xdr:colOff>
      <xdr:row>10</xdr:row>
      <xdr:rowOff>81643</xdr:rowOff>
    </xdr:to>
    <xdr:cxnSp macro="">
      <xdr:nvCxnSpPr>
        <xdr:cNvPr id="3" name="Straight Connector 1">
          <a:extLst>
            <a:ext uri="{FF2B5EF4-FFF2-40B4-BE49-F238E27FC236}">
              <a16:creationId xmlns:a16="http://schemas.microsoft.com/office/drawing/2014/main" id="{FB563699-D94F-482C-9EB4-317DAA3C2517}"/>
            </a:ext>
          </a:extLst>
        </xdr:cNvPr>
        <xdr:cNvCxnSpPr>
          <a:cxnSpLocks/>
        </xdr:cNvCxnSpPr>
      </xdr:nvCxnSpPr>
      <xdr:spPr bwMode="auto">
        <a:xfrm>
          <a:off x="1578429" y="2041071"/>
          <a:ext cx="669018" cy="20410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</xdr:col>
      <xdr:colOff>802821</xdr:colOff>
      <xdr:row>11</xdr:row>
      <xdr:rowOff>27215</xdr:rowOff>
    </xdr:from>
    <xdr:to>
      <xdr:col>2</xdr:col>
      <xdr:colOff>1428750</xdr:colOff>
      <xdr:row>12</xdr:row>
      <xdr:rowOff>122465</xdr:rowOff>
    </xdr:to>
    <xdr:cxnSp macro="">
      <xdr:nvCxnSpPr>
        <xdr:cNvPr id="5" name="Straight Connector 2">
          <a:extLst>
            <a:ext uri="{FF2B5EF4-FFF2-40B4-BE49-F238E27FC236}">
              <a16:creationId xmlns:a16="http://schemas.microsoft.com/office/drawing/2014/main" id="{29A5A5CE-4D92-4802-B4DF-C13F9189EA5A}"/>
            </a:ext>
            <a:ext uri="{147F2762-F138-4A5C-976F-8EAC2B608ADB}">
              <a16:predDERef xmlns:a16="http://schemas.microsoft.com/office/drawing/2014/main" pred="{FB563699-D94F-482C-9EB4-317DAA3C2517}"/>
            </a:ext>
          </a:extLst>
        </xdr:cNvPr>
        <xdr:cNvCxnSpPr>
          <a:cxnSpLocks/>
        </xdr:cNvCxnSpPr>
      </xdr:nvCxnSpPr>
      <xdr:spPr bwMode="auto">
        <a:xfrm>
          <a:off x="3048000" y="2449286"/>
          <a:ext cx="625929" cy="2857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1841500</xdr:colOff>
      <xdr:row>13</xdr:row>
      <xdr:rowOff>0</xdr:rowOff>
    </xdr:from>
    <xdr:to>
      <xdr:col>3</xdr:col>
      <xdr:colOff>290286</xdr:colOff>
      <xdr:row>14</xdr:row>
      <xdr:rowOff>127000</xdr:rowOff>
    </xdr:to>
    <xdr:cxnSp macro="">
      <xdr:nvCxnSpPr>
        <xdr:cNvPr id="16" name="Straight Connector 2">
          <a:extLst>
            <a:ext uri="{FF2B5EF4-FFF2-40B4-BE49-F238E27FC236}">
              <a16:creationId xmlns:a16="http://schemas.microsoft.com/office/drawing/2014/main" id="{2740BB70-C4FD-4DEE-B485-7FFBE47DC064}"/>
            </a:ext>
            <a:ext uri="{147F2762-F138-4A5C-976F-8EAC2B608ADB}">
              <a16:predDERef xmlns:a16="http://schemas.microsoft.com/office/drawing/2014/main" pred="{FB563699-D94F-482C-9EB4-317DAA3C2517}"/>
            </a:ext>
          </a:extLst>
        </xdr:cNvPr>
        <xdr:cNvCxnSpPr>
          <a:cxnSpLocks/>
        </xdr:cNvCxnSpPr>
      </xdr:nvCxnSpPr>
      <xdr:spPr bwMode="auto">
        <a:xfrm flipH="1">
          <a:off x="2295071" y="2893786"/>
          <a:ext cx="1850572" cy="3175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</xdr:col>
      <xdr:colOff>54429</xdr:colOff>
      <xdr:row>13</xdr:row>
      <xdr:rowOff>18143</xdr:rowOff>
    </xdr:from>
    <xdr:to>
      <xdr:col>3</xdr:col>
      <xdr:colOff>335643</xdr:colOff>
      <xdr:row>16</xdr:row>
      <xdr:rowOff>217714</xdr:rowOff>
    </xdr:to>
    <xdr:cxnSp macro="">
      <xdr:nvCxnSpPr>
        <xdr:cNvPr id="15" name="Straight Connector 2">
          <a:extLst>
            <a:ext uri="{FF2B5EF4-FFF2-40B4-BE49-F238E27FC236}">
              <a16:creationId xmlns:a16="http://schemas.microsoft.com/office/drawing/2014/main" id="{CF04B36F-48A8-4CE6-AECA-B6CEB1E8294F}"/>
            </a:ext>
            <a:ext uri="{147F2762-F138-4A5C-976F-8EAC2B608ADB}">
              <a16:predDERef xmlns:a16="http://schemas.microsoft.com/office/drawing/2014/main" pred="{FB563699-D94F-482C-9EB4-317DAA3C2517}"/>
            </a:ext>
          </a:extLst>
        </xdr:cNvPr>
        <xdr:cNvCxnSpPr>
          <a:cxnSpLocks/>
        </xdr:cNvCxnSpPr>
      </xdr:nvCxnSpPr>
      <xdr:spPr bwMode="auto">
        <a:xfrm flipH="1">
          <a:off x="2403929" y="2911929"/>
          <a:ext cx="1787071" cy="83457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</xdr:col>
      <xdr:colOff>1605643</xdr:colOff>
      <xdr:row>13</xdr:row>
      <xdr:rowOff>36285</xdr:rowOff>
    </xdr:from>
    <xdr:to>
      <xdr:col>3</xdr:col>
      <xdr:colOff>444500</xdr:colOff>
      <xdr:row>18</xdr:row>
      <xdr:rowOff>263071</xdr:rowOff>
    </xdr:to>
    <xdr:cxnSp macro="">
      <xdr:nvCxnSpPr>
        <xdr:cNvPr id="6" name="Straight Connector 2">
          <a:extLst>
            <a:ext uri="{FF2B5EF4-FFF2-40B4-BE49-F238E27FC236}">
              <a16:creationId xmlns:a16="http://schemas.microsoft.com/office/drawing/2014/main" id="{6FBEC62A-5A8A-45D0-AF38-CEBCC8782D17}"/>
            </a:ext>
            <a:ext uri="{147F2762-F138-4A5C-976F-8EAC2B608ADB}">
              <a16:predDERef xmlns:a16="http://schemas.microsoft.com/office/drawing/2014/main" pred="{FB563699-D94F-482C-9EB4-317DAA3C2517}"/>
            </a:ext>
          </a:extLst>
        </xdr:cNvPr>
        <xdr:cNvCxnSpPr>
          <a:cxnSpLocks/>
        </xdr:cNvCxnSpPr>
      </xdr:nvCxnSpPr>
      <xdr:spPr bwMode="auto">
        <a:xfrm flipH="1">
          <a:off x="2059214" y="2930071"/>
          <a:ext cx="2240643" cy="13970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9525</xdr:rowOff>
    </xdr:from>
    <xdr:to>
      <xdr:col>13</xdr:col>
      <xdr:colOff>174625</xdr:colOff>
      <xdr:row>38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3369E3-AC3B-4B9B-A482-93B25E4E9891}"/>
            </a:ext>
            <a:ext uri="{147F2762-F138-4A5C-976F-8EAC2B608ADB}">
              <a16:predDERef xmlns:a16="http://schemas.microsoft.com/office/drawing/2014/main" pred="{FE598CDD-F061-470B-A7EA-E75D35A7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33400"/>
          <a:ext cx="8181975" cy="5581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571500</xdr:colOff>
      <xdr:row>7</xdr:row>
      <xdr:rowOff>152399</xdr:rowOff>
    </xdr:from>
    <xdr:to>
      <xdr:col>17</xdr:col>
      <xdr:colOff>254000</xdr:colOff>
      <xdr:row>35</xdr:row>
      <xdr:rowOff>93842</xdr:rowOff>
    </xdr:to>
    <xdr:pic>
      <xdr:nvPicPr>
        <xdr:cNvPr id="3" name="Picture 44" descr="Diagram&#10;&#10;Description automatically generated">
          <a:extLst>
            <a:ext uri="{FF2B5EF4-FFF2-40B4-BE49-F238E27FC236}">
              <a16:creationId xmlns:a16="http://schemas.microsoft.com/office/drawing/2014/main" id="{4068CD17-9B17-4CA0-A4CF-1A9B496A94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672" t="5898" r="14831" b="3801"/>
        <a:stretch/>
      </xdr:blipFill>
      <xdr:spPr bwMode="auto">
        <a:xfrm>
          <a:off x="4629150" y="1269999"/>
          <a:ext cx="6388100" cy="4475343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628650</xdr:colOff>
      <xdr:row>15</xdr:row>
      <xdr:rowOff>66675</xdr:rowOff>
    </xdr:from>
    <xdr:to>
      <xdr:col>8</xdr:col>
      <xdr:colOff>15875</xdr:colOff>
      <xdr:row>20</xdr:row>
      <xdr:rowOff>38100</xdr:rowOff>
    </xdr:to>
    <xdr:sp macro="" textlink="">
      <xdr:nvSpPr>
        <xdr:cNvPr id="2" name="Note" hidden="1">
          <a:extLst>
            <a:ext uri="{FF2B5EF4-FFF2-40B4-BE49-F238E27FC236}">
              <a16:creationId xmlns:a16="http://schemas.microsoft.com/office/drawing/2014/main" id="{69D8A34A-9413-455E-9B0C-132486DEBEA6}"/>
            </a:ext>
          </a:extLst>
        </xdr:cNvPr>
        <xdr:cNvSpPr txBox="1">
          <a:spLocks noChangeArrowheads="1"/>
        </xdr:cNvSpPr>
      </xdr:nvSpPr>
      <xdr:spPr bwMode="auto">
        <a:xfrm>
          <a:off x="2292350" y="3032125"/>
          <a:ext cx="2498725" cy="7715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Note: You can adjust the predecessors in column D and activity times in column E.  All dependent chnages will be made automatically.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51"/>
  <sheetViews>
    <sheetView showGridLines="0" zoomScale="70" zoomScaleNormal="70" workbookViewId="0">
      <selection activeCell="G37" sqref="G37"/>
    </sheetView>
  </sheetViews>
  <sheetFormatPr defaultColWidth="8.7265625" defaultRowHeight="15" customHeight="1" x14ac:dyDescent="0.4"/>
  <cols>
    <col min="1" max="1" width="6.453125" style="2" customWidth="1"/>
    <col min="2" max="2" width="27.1796875" style="2" customWidth="1"/>
    <col min="3" max="3" width="21.453125" style="2" customWidth="1"/>
    <col min="4" max="4" width="33" style="2" customWidth="1"/>
    <col min="5" max="5" width="16.453125" style="2" customWidth="1"/>
    <col min="6" max="6" width="21.81640625" style="2" customWidth="1"/>
    <col min="7" max="15" width="18.81640625" style="2" customWidth="1"/>
    <col min="16" max="16384" width="8.7265625" style="2"/>
  </cols>
  <sheetData>
    <row r="1" spans="1:4" ht="15" customHeight="1" x14ac:dyDescent="0.4">
      <c r="A1" s="2" t="s">
        <v>0</v>
      </c>
    </row>
    <row r="2" spans="1:4" ht="15" customHeight="1" x14ac:dyDescent="0.4">
      <c r="A2" s="2" t="s">
        <v>1</v>
      </c>
    </row>
    <row r="7" spans="1:4" ht="23.25" customHeight="1" x14ac:dyDescent="0.4">
      <c r="B7" s="6" t="s">
        <v>2</v>
      </c>
      <c r="C7" s="6"/>
    </row>
    <row r="9" spans="1:4" ht="27" customHeight="1" x14ac:dyDescent="0.4">
      <c r="B9" s="6" t="s">
        <v>3</v>
      </c>
    </row>
    <row r="10" spans="1:4" ht="15" customHeight="1" x14ac:dyDescent="0.4">
      <c r="B10" s="6"/>
    </row>
    <row r="11" spans="1:4" ht="20.25" customHeight="1" x14ac:dyDescent="0.4">
      <c r="C11" s="6" t="s">
        <v>4</v>
      </c>
    </row>
    <row r="12" spans="1:4" ht="15" customHeight="1" x14ac:dyDescent="0.4">
      <c r="B12" s="6"/>
      <c r="D12" s="21"/>
    </row>
    <row r="13" spans="1:4" ht="22.5" customHeight="1" x14ac:dyDescent="0.4">
      <c r="D13" s="6" t="s">
        <v>5</v>
      </c>
    </row>
    <row r="15" spans="1:4" ht="20.25" customHeight="1" x14ac:dyDescent="0.4">
      <c r="B15" s="6" t="s">
        <v>69</v>
      </c>
      <c r="D15" s="21"/>
    </row>
    <row r="17" spans="2:9" ht="27" customHeight="1" x14ac:dyDescent="0.4">
      <c r="B17" s="6" t="s">
        <v>70</v>
      </c>
      <c r="G17" s="6"/>
      <c r="H17" s="6"/>
    </row>
    <row r="19" spans="2:9" ht="27.75" customHeight="1" x14ac:dyDescent="0.4">
      <c r="B19" s="6" t="s">
        <v>71</v>
      </c>
      <c r="G19" s="6"/>
    </row>
    <row r="20" spans="2:9" ht="15" customHeight="1" x14ac:dyDescent="0.4">
      <c r="G20" s="6"/>
    </row>
    <row r="21" spans="2:9" ht="15" customHeight="1" x14ac:dyDescent="0.4">
      <c r="H21" s="6"/>
    </row>
    <row r="22" spans="2:9" ht="15" customHeight="1" x14ac:dyDescent="0.4">
      <c r="B22" s="6" t="s">
        <v>114</v>
      </c>
      <c r="G22" s="6"/>
      <c r="I22" s="41"/>
    </row>
    <row r="23" spans="2:9" ht="15" customHeight="1" x14ac:dyDescent="0.4">
      <c r="I23" s="6"/>
    </row>
    <row r="24" spans="2:9" ht="15" customHeight="1" x14ac:dyDescent="0.4">
      <c r="B24" s="6" t="s">
        <v>115</v>
      </c>
    </row>
    <row r="25" spans="2:9" ht="15" customHeight="1" x14ac:dyDescent="0.4">
      <c r="G25" s="6"/>
      <c r="I25" s="41"/>
    </row>
    <row r="27" spans="2:9" ht="15" customHeight="1" x14ac:dyDescent="0.4">
      <c r="B27" s="6" t="s">
        <v>116</v>
      </c>
      <c r="G27" s="6"/>
    </row>
    <row r="28" spans="2:9" ht="15" customHeight="1" x14ac:dyDescent="0.4">
      <c r="B28" s="32"/>
    </row>
    <row r="29" spans="2:9" ht="15" customHeight="1" x14ac:dyDescent="0.4">
      <c r="B29" s="6" t="s">
        <v>117</v>
      </c>
      <c r="G29" s="6"/>
    </row>
    <row r="30" spans="2:9" ht="15" customHeight="1" x14ac:dyDescent="0.4">
      <c r="B30" s="32"/>
    </row>
    <row r="31" spans="2:9" ht="15" customHeight="1" x14ac:dyDescent="0.4">
      <c r="B31" s="32"/>
    </row>
    <row r="32" spans="2:9" ht="15" customHeight="1" x14ac:dyDescent="0.4">
      <c r="B32" s="6" t="s">
        <v>118</v>
      </c>
      <c r="G32" s="6"/>
    </row>
    <row r="34" spans="2:7" ht="15" customHeight="1" x14ac:dyDescent="0.4">
      <c r="G34" s="6"/>
    </row>
    <row r="35" spans="2:7" ht="15" customHeight="1" x14ac:dyDescent="0.4">
      <c r="B35" s="6" t="s">
        <v>121</v>
      </c>
    </row>
    <row r="37" spans="2:7" ht="15" customHeight="1" x14ac:dyDescent="0.4">
      <c r="G37" s="6"/>
    </row>
    <row r="38" spans="2:7" ht="15" customHeight="1" x14ac:dyDescent="0.4">
      <c r="B38" s="6" t="s">
        <v>119</v>
      </c>
      <c r="G38" s="32"/>
    </row>
    <row r="39" spans="2:7" ht="15" customHeight="1" x14ac:dyDescent="0.4">
      <c r="G39" s="6"/>
    </row>
    <row r="40" spans="2:7" ht="15" customHeight="1" x14ac:dyDescent="0.4">
      <c r="G40" s="32"/>
    </row>
    <row r="41" spans="2:7" ht="15" customHeight="1" x14ac:dyDescent="0.4">
      <c r="B41" s="6" t="s">
        <v>120</v>
      </c>
      <c r="G41" s="32"/>
    </row>
    <row r="42" spans="2:7" ht="15" customHeight="1" x14ac:dyDescent="0.4">
      <c r="G42" s="6"/>
    </row>
    <row r="45" spans="2:7" ht="15" customHeight="1" x14ac:dyDescent="0.4">
      <c r="G45" s="6"/>
    </row>
    <row r="48" spans="2:7" ht="15" customHeight="1" x14ac:dyDescent="0.4">
      <c r="G48" s="6"/>
    </row>
    <row r="51" spans="7:7" ht="15" customHeight="1" x14ac:dyDescent="0.4">
      <c r="G51" s="6"/>
    </row>
  </sheetData>
  <phoneticPr fontId="6" type="noConversion"/>
  <hyperlinks>
    <hyperlink ref="B7" location="'Influence chart'!A1" display="INFLUENCE CHART" xr:uid="{05408213-17C4-4BEC-B93B-EBDC6D870D4F}"/>
    <hyperlink ref="B9" location="Assumptions!A1" display="ASSUMPTIONS" xr:uid="{649062F1-20A5-4912-9D52-CAA8F435B552}"/>
    <hyperlink ref="C11" location="Calculations!A1" display="Calculations " xr:uid="{9C5A84E5-7105-4646-8199-9C7E96894862}"/>
    <hyperlink ref="D13" location="Results!A1" display="Results " xr:uid="{9476C76D-5F91-4592-9D11-3331B2476ABB}"/>
    <hyperlink ref="B15" location="'Base-Case Analysis'!A1" display="Base-Case Analysis" xr:uid="{9E336CE3-424D-408A-8421-94CA11E80677}"/>
    <hyperlink ref="B17" location="'Break-Even Analysis'!A1" display="Break-Even Analysis" xr:uid="{E4037681-293C-4C9F-B1AB-BE1CA3616D8F}"/>
    <hyperlink ref="B19" location="'What-If Scenario Summary'!A1" display="What-If Scenario" xr:uid="{14F699A4-E87F-604C-86FE-D71ED53BE860}"/>
    <hyperlink ref="B22" location="Data!A1" display="Data " xr:uid="{2DA858BA-E64E-48CF-A2CA-58C32C1148C4}"/>
    <hyperlink ref="B24" location="'Payoff Matrix'!A1" display="Payoff Matrix " xr:uid="{8E00B914-2233-49BC-A545-6EA124FC8EA2}"/>
    <hyperlink ref="B27" location="Maximax!A1" display="Maximax" xr:uid="{5ADFE59F-FF6D-423D-84D3-C69B766F314A}"/>
    <hyperlink ref="B29" location="Maximin!A1" display="Maximin" xr:uid="{3BAE3715-BCA9-43B6-8738-B98AC192ED29}"/>
    <hyperlink ref="B32" location="'Max Regret'!A1" display="Max Regret " xr:uid="{71DB80A1-C0CD-43A6-AA34-1E26A2E60164}"/>
    <hyperlink ref="B35" location="'Expected Value'!A1" display="Expected Valeu" xr:uid="{B3E3F384-81C0-441F-B4DD-61C893FCC879}"/>
    <hyperlink ref="B38" location="'Expected Regret'!A1" display="Expected Regret " xr:uid="{1BF0E3F7-8741-45BF-86FC-E49D43AB4818}"/>
    <hyperlink ref="B41" location="'Decision Tree'!A1" display="Decision Tree " xr:uid="{E63E805D-AB8A-4666-9D52-225D69EAE1E2}"/>
  </hyperlink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62014-39CC-417F-B95D-7D78CF5A2824}">
  <dimension ref="A1:C4"/>
  <sheetViews>
    <sheetView tabSelected="1" topLeftCell="A10" workbookViewId="0">
      <selection activeCell="F44" sqref="F44"/>
    </sheetView>
  </sheetViews>
  <sheetFormatPr defaultColWidth="8.81640625" defaultRowHeight="12.5" x14ac:dyDescent="0.25"/>
  <sheetData>
    <row r="1" spans="1:3" ht="15.5" x14ac:dyDescent="0.35">
      <c r="A1" s="3" t="s">
        <v>6</v>
      </c>
      <c r="B1" s="4"/>
      <c r="C1" s="4"/>
    </row>
    <row r="4" spans="1:3" ht="14.5" x14ac:dyDescent="0.25">
      <c r="B4" s="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D3E1C-3792-4253-919C-BC9BC4FE04EC}">
  <dimension ref="B3:G21"/>
  <sheetViews>
    <sheetView workbookViewId="0">
      <selection activeCell="B3" sqref="B3:C12"/>
    </sheetView>
  </sheetViews>
  <sheetFormatPr defaultColWidth="8.81640625" defaultRowHeight="12.5" x14ac:dyDescent="0.25"/>
  <cols>
    <col min="1" max="1" width="2.54296875" style="133" customWidth="1"/>
    <col min="2" max="2" width="31" style="133" customWidth="1"/>
    <col min="3" max="3" width="28.7265625" style="133" customWidth="1"/>
    <col min="4" max="16384" width="8.81640625" style="133"/>
  </cols>
  <sheetData>
    <row r="3" spans="2:7" ht="15.5" customHeight="1" x14ac:dyDescent="0.25">
      <c r="B3" s="162" t="s">
        <v>7</v>
      </c>
      <c r="C3" s="163"/>
    </row>
    <row r="4" spans="2:7" ht="14.5" x14ac:dyDescent="0.35">
      <c r="B4" s="164"/>
      <c r="C4" s="165"/>
      <c r="E4" s="142"/>
      <c r="F4" s="143"/>
      <c r="G4" s="142"/>
    </row>
    <row r="5" spans="2:7" ht="15.5" x14ac:dyDescent="0.35">
      <c r="B5" s="144" t="s">
        <v>8</v>
      </c>
      <c r="C5" s="145">
        <v>1000000</v>
      </c>
      <c r="D5" s="139"/>
      <c r="E5" s="146"/>
      <c r="F5" s="139"/>
      <c r="G5" s="146"/>
    </row>
    <row r="6" spans="2:7" ht="15.5" x14ac:dyDescent="0.35">
      <c r="B6" s="134" t="s">
        <v>9</v>
      </c>
      <c r="C6" s="147">
        <v>1</v>
      </c>
      <c r="D6" s="139"/>
      <c r="E6" s="146"/>
      <c r="F6" s="139"/>
      <c r="G6" s="146"/>
    </row>
    <row r="7" spans="2:7" ht="15.5" x14ac:dyDescent="0.35">
      <c r="B7" s="148" t="s">
        <v>10</v>
      </c>
      <c r="C7" s="149" t="s">
        <v>11</v>
      </c>
      <c r="D7" s="142"/>
      <c r="E7" s="142"/>
      <c r="F7" s="142"/>
      <c r="G7" s="142"/>
    </row>
    <row r="8" spans="2:7" ht="15.5" x14ac:dyDescent="0.35">
      <c r="B8" s="148" t="s">
        <v>12</v>
      </c>
      <c r="C8" s="150">
        <v>50</v>
      </c>
      <c r="D8" s="142"/>
      <c r="E8" s="151"/>
      <c r="F8" s="142"/>
      <c r="G8" s="151"/>
    </row>
    <row r="9" spans="2:7" ht="15.5" x14ac:dyDescent="0.35">
      <c r="B9" s="148" t="s">
        <v>13</v>
      </c>
      <c r="C9" s="150">
        <v>1000</v>
      </c>
      <c r="D9" s="142"/>
      <c r="E9" s="151"/>
      <c r="F9" s="142"/>
      <c r="G9" s="151"/>
    </row>
    <row r="10" spans="2:7" ht="15.5" x14ac:dyDescent="0.35">
      <c r="B10" s="148" t="s">
        <v>14</v>
      </c>
      <c r="C10" s="152">
        <v>0.85</v>
      </c>
      <c r="D10" s="142"/>
      <c r="E10" s="153"/>
      <c r="F10" s="142"/>
      <c r="G10" s="153"/>
    </row>
    <row r="11" spans="2:7" ht="15.5" x14ac:dyDescent="0.35">
      <c r="B11" s="148" t="s">
        <v>15</v>
      </c>
      <c r="C11" s="150">
        <v>4</v>
      </c>
      <c r="D11" s="142"/>
      <c r="E11" s="151"/>
      <c r="F11" s="142"/>
      <c r="G11" s="151"/>
    </row>
    <row r="12" spans="2:7" ht="14.5" x14ac:dyDescent="0.35">
      <c r="B12" s="154" t="s">
        <v>16</v>
      </c>
      <c r="C12" s="155" t="s">
        <v>17</v>
      </c>
      <c r="D12" s="142"/>
      <c r="E12" s="151"/>
      <c r="F12" s="142"/>
      <c r="G12" s="151"/>
    </row>
    <row r="13" spans="2:7" ht="14.5" x14ac:dyDescent="0.35">
      <c r="B13" s="143"/>
      <c r="C13" s="142"/>
      <c r="D13" s="143"/>
      <c r="E13" s="142"/>
      <c r="F13" s="143"/>
      <c r="G13" s="142"/>
    </row>
    <row r="14" spans="2:7" ht="14.5" x14ac:dyDescent="0.35">
      <c r="B14" s="139"/>
      <c r="C14" s="146"/>
      <c r="D14" s="139"/>
      <c r="E14" s="146"/>
      <c r="F14" s="139"/>
      <c r="G14" s="146"/>
    </row>
    <row r="15" spans="2:7" ht="14.5" x14ac:dyDescent="0.35">
      <c r="B15" s="139"/>
      <c r="C15" s="146"/>
      <c r="D15" s="139"/>
      <c r="E15" s="146"/>
      <c r="F15" s="139"/>
      <c r="G15" s="146"/>
    </row>
    <row r="16" spans="2:7" ht="14.5" x14ac:dyDescent="0.35">
      <c r="B16" s="142"/>
      <c r="C16" s="142"/>
      <c r="D16" s="142"/>
      <c r="E16" s="142"/>
      <c r="F16" s="142"/>
      <c r="G16" s="142"/>
    </row>
    <row r="17" spans="2:7" ht="14.5" x14ac:dyDescent="0.35">
      <c r="B17" s="142"/>
      <c r="C17" s="151"/>
      <c r="D17" s="142"/>
      <c r="E17" s="151"/>
      <c r="F17" s="142"/>
      <c r="G17" s="151"/>
    </row>
    <row r="18" spans="2:7" ht="14.5" x14ac:dyDescent="0.35">
      <c r="B18" s="142"/>
      <c r="C18" s="151"/>
      <c r="D18" s="142"/>
      <c r="E18" s="151"/>
      <c r="F18" s="142"/>
      <c r="G18" s="151"/>
    </row>
    <row r="19" spans="2:7" ht="14.5" x14ac:dyDescent="0.35">
      <c r="B19" s="142"/>
      <c r="C19" s="153"/>
      <c r="D19" s="142"/>
      <c r="E19" s="153"/>
      <c r="F19" s="142"/>
      <c r="G19" s="153"/>
    </row>
    <row r="20" spans="2:7" ht="14.5" x14ac:dyDescent="0.35">
      <c r="B20" s="142"/>
      <c r="C20" s="151"/>
      <c r="D20" s="142"/>
      <c r="E20" s="151"/>
      <c r="F20" s="142"/>
      <c r="G20" s="151"/>
    </row>
    <row r="21" spans="2:7" ht="14.5" x14ac:dyDescent="0.35">
      <c r="B21" s="142"/>
      <c r="C21" s="151"/>
      <c r="D21" s="142"/>
      <c r="E21" s="151"/>
      <c r="F21" s="142"/>
      <c r="G21" s="151"/>
    </row>
  </sheetData>
  <mergeCells count="1">
    <mergeCell ref="B3:C4"/>
  </mergeCells>
  <dataValidations count="1">
    <dataValidation type="whole" allowBlank="1" showInputMessage="1" showErrorMessage="1" errorTitle="Draft Error" error="Draft Number must be between 1 and 10" promptTitle="Draft Number" prompt="Can commission 1 to 10 drafts" sqref="C11" xr:uid="{1E92C59B-6C94-4117-BFED-FFAE8BC6F63A}">
      <formula1>1</formula1>
      <formula2>10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F7F31-1C04-48E8-B086-7ED5B9B1F9B5}">
  <dimension ref="B3:F17"/>
  <sheetViews>
    <sheetView workbookViewId="0">
      <selection activeCell="C6" sqref="C6"/>
    </sheetView>
  </sheetViews>
  <sheetFormatPr defaultColWidth="8.81640625" defaultRowHeight="12.5" x14ac:dyDescent="0.25"/>
  <cols>
    <col min="1" max="1" width="2.7265625" style="133" customWidth="1"/>
    <col min="2" max="2" width="51.453125" style="133" customWidth="1"/>
    <col min="3" max="16384" width="8.81640625" style="133"/>
  </cols>
  <sheetData>
    <row r="3" spans="2:6" ht="15.5" customHeight="1" x14ac:dyDescent="0.25">
      <c r="B3" s="166" t="s">
        <v>18</v>
      </c>
      <c r="C3" s="166"/>
    </row>
    <row r="4" spans="2:6" ht="23.25" customHeight="1" x14ac:dyDescent="0.25">
      <c r="B4" s="166"/>
      <c r="C4" s="166"/>
    </row>
    <row r="5" spans="2:6" ht="14.5" x14ac:dyDescent="0.35">
      <c r="B5" s="167" t="s">
        <v>19</v>
      </c>
      <c r="C5" s="167"/>
    </row>
    <row r="6" spans="2:6" ht="14.5" x14ac:dyDescent="0.35">
      <c r="B6" s="134" t="s">
        <v>20</v>
      </c>
      <c r="C6" s="135">
        <f>Assumptions!C5-(Assumptions!C11*Assumptions!C8*1000)</f>
        <v>800000</v>
      </c>
    </row>
    <row r="7" spans="2:6" ht="14.5" x14ac:dyDescent="0.35">
      <c r="B7" s="136" t="s">
        <v>21</v>
      </c>
      <c r="C7" s="137">
        <f>C6*Assumptions!C11^Assumptions!C10</f>
        <v>2599207.6683399533</v>
      </c>
    </row>
    <row r="9" spans="2:6" ht="14.5" x14ac:dyDescent="0.35">
      <c r="B9" s="138"/>
      <c r="C9" s="139"/>
      <c r="D9" s="139"/>
      <c r="E9" s="138"/>
      <c r="F9" s="139"/>
    </row>
    <row r="10" spans="2:6" ht="14.5" x14ac:dyDescent="0.35">
      <c r="B10" s="139"/>
      <c r="C10" s="139"/>
      <c r="D10" s="139"/>
      <c r="E10" s="140"/>
      <c r="F10" s="139"/>
    </row>
    <row r="11" spans="2:6" ht="14.5" x14ac:dyDescent="0.35">
      <c r="B11" s="141"/>
    </row>
    <row r="12" spans="2:6" ht="14.5" x14ac:dyDescent="0.35">
      <c r="B12" s="141"/>
    </row>
    <row r="13" spans="2:6" ht="14.5" x14ac:dyDescent="0.35">
      <c r="B13" s="141"/>
    </row>
    <row r="14" spans="2:6" ht="14.5" x14ac:dyDescent="0.35">
      <c r="B14" s="141"/>
    </row>
    <row r="15" spans="2:6" ht="14.5" x14ac:dyDescent="0.35">
      <c r="B15" s="141"/>
    </row>
    <row r="17" s="133" customFormat="1" x14ac:dyDescent="0.25"/>
  </sheetData>
  <mergeCells count="2">
    <mergeCell ref="B3:C4"/>
    <mergeCell ref="B5:C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F1F54-AA68-4895-B9FC-FE3EF504081B}">
  <dimension ref="A1:Q28"/>
  <sheetViews>
    <sheetView workbookViewId="0">
      <selection activeCell="F6" sqref="F6"/>
    </sheetView>
  </sheetViews>
  <sheetFormatPr defaultColWidth="9.1796875" defaultRowHeight="12.5" x14ac:dyDescent="0.25"/>
  <cols>
    <col min="1" max="1" width="9.1796875" style="43"/>
    <col min="2" max="2" width="6.7265625" style="43" customWidth="1"/>
    <col min="3" max="3" width="14" style="43" customWidth="1"/>
    <col min="4" max="9" width="9.1796875" style="43"/>
    <col min="10" max="13" width="7.81640625" style="43" bestFit="1" customWidth="1"/>
    <col min="14" max="16384" width="9.1796875" style="43"/>
  </cols>
  <sheetData>
    <row r="1" spans="1:17" ht="15.5" x14ac:dyDescent="0.35">
      <c r="A1" s="42" t="s">
        <v>22</v>
      </c>
    </row>
    <row r="2" spans="1:17" ht="13" x14ac:dyDescent="0.3">
      <c r="A2" s="44"/>
    </row>
    <row r="3" spans="1:17" ht="14.5" x14ac:dyDescent="0.35">
      <c r="A3" s="45" t="s">
        <v>23</v>
      </c>
      <c r="B3" s="45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P3" s="46"/>
      <c r="Q3" s="47"/>
    </row>
    <row r="4" spans="1:17" ht="14.5" x14ac:dyDescent="0.35">
      <c r="A4" s="46"/>
      <c r="B4" s="46"/>
      <c r="C4" s="46"/>
      <c r="D4" s="46" t="s">
        <v>24</v>
      </c>
      <c r="E4" s="46"/>
      <c r="F4" s="46"/>
      <c r="G4" s="46"/>
      <c r="H4" s="46"/>
      <c r="I4" s="46"/>
      <c r="J4" s="46"/>
      <c r="K4" s="46"/>
      <c r="L4" s="46"/>
      <c r="M4" s="46"/>
    </row>
    <row r="5" spans="1:17" ht="14.5" x14ac:dyDescent="0.35">
      <c r="A5" s="46"/>
      <c r="B5" s="48" t="s">
        <v>25</v>
      </c>
      <c r="C5" s="49">
        <f>P12</f>
        <v>0</v>
      </c>
      <c r="D5" s="50">
        <v>1</v>
      </c>
      <c r="E5" s="50">
        <v>2</v>
      </c>
      <c r="F5" s="50">
        <v>3</v>
      </c>
      <c r="G5" s="50">
        <v>4</v>
      </c>
      <c r="H5" s="50">
        <v>5</v>
      </c>
      <c r="I5" s="50">
        <v>6</v>
      </c>
      <c r="J5" s="50">
        <v>7</v>
      </c>
      <c r="K5" s="50">
        <v>8</v>
      </c>
      <c r="L5" s="50">
        <v>9</v>
      </c>
      <c r="M5" s="51">
        <v>10</v>
      </c>
    </row>
    <row r="6" spans="1:17" ht="14.5" x14ac:dyDescent="0.35">
      <c r="A6" s="46"/>
      <c r="B6" s="52"/>
      <c r="C6" s="53">
        <v>950</v>
      </c>
      <c r="D6" s="54">
        <v>950</v>
      </c>
      <c r="E6" s="53">
        <v>1712.3758789605774</v>
      </c>
      <c r="F6" s="53">
        <v>2417.0001190589983</v>
      </c>
      <c r="G6" s="53">
        <v>3086.5591061536948</v>
      </c>
      <c r="H6" s="53">
        <v>3731.1963936008801</v>
      </c>
      <c r="I6" s="53">
        <v>4356.6449508647074</v>
      </c>
      <c r="J6" s="53">
        <v>4966.5743273883254</v>
      </c>
      <c r="K6" s="53">
        <v>5563.5256445933746</v>
      </c>
      <c r="L6" s="53">
        <v>6149.3574479275912</v>
      </c>
      <c r="M6" s="55">
        <v>6725.4849516493105</v>
      </c>
    </row>
    <row r="7" spans="1:17" ht="14.5" x14ac:dyDescent="0.35">
      <c r="A7" s="46"/>
      <c r="B7" s="52"/>
      <c r="C7" s="53">
        <v>900</v>
      </c>
      <c r="D7" s="53">
        <v>900</v>
      </c>
      <c r="E7" s="54">
        <v>1622.2508326994944</v>
      </c>
      <c r="F7" s="53">
        <v>2289.7895864769457</v>
      </c>
      <c r="G7" s="53">
        <v>2924.1086268824479</v>
      </c>
      <c r="H7" s="53">
        <v>3534.8176360429388</v>
      </c>
      <c r="I7" s="53">
        <v>4127.3478481876173</v>
      </c>
      <c r="J7" s="53">
        <v>4705.1756785784137</v>
      </c>
      <c r="K7" s="53">
        <v>5270.70850540425</v>
      </c>
      <c r="L7" s="53">
        <v>5825.7070559314025</v>
      </c>
      <c r="M7" s="55">
        <v>6371.5120594572418</v>
      </c>
    </row>
    <row r="8" spans="1:17" ht="14.5" x14ac:dyDescent="0.35">
      <c r="A8" s="46"/>
      <c r="B8" s="52"/>
      <c r="C8" s="53">
        <v>850</v>
      </c>
      <c r="D8" s="53">
        <v>850</v>
      </c>
      <c r="E8" s="53">
        <v>1532.1257864384113</v>
      </c>
      <c r="F8" s="54">
        <v>2162.5790538948931</v>
      </c>
      <c r="G8" s="53">
        <v>2761.6581476112005</v>
      </c>
      <c r="H8" s="53">
        <v>3338.438878484998</v>
      </c>
      <c r="I8" s="53">
        <v>3898.0507455105276</v>
      </c>
      <c r="J8" s="53">
        <v>4443.777029768502</v>
      </c>
      <c r="K8" s="53">
        <v>4977.8913662151253</v>
      </c>
      <c r="L8" s="53">
        <v>5502.0566639352128</v>
      </c>
      <c r="M8" s="55">
        <v>6017.5391672651722</v>
      </c>
    </row>
    <row r="9" spans="1:17" ht="14.5" x14ac:dyDescent="0.35">
      <c r="A9" s="46"/>
      <c r="B9" s="52"/>
      <c r="C9" s="53">
        <v>800</v>
      </c>
      <c r="D9" s="53">
        <v>800</v>
      </c>
      <c r="E9" s="53">
        <v>1442.0007401773282</v>
      </c>
      <c r="F9" s="53">
        <v>2035.3685213128408</v>
      </c>
      <c r="G9" s="54">
        <v>2599.2076683399537</v>
      </c>
      <c r="H9" s="53">
        <v>3142.0601209270567</v>
      </c>
      <c r="I9" s="53">
        <v>3668.7536428334374</v>
      </c>
      <c r="J9" s="53">
        <v>4182.3783809585893</v>
      </c>
      <c r="K9" s="53">
        <v>4685.0742270259998</v>
      </c>
      <c r="L9" s="53">
        <v>5178.406271939024</v>
      </c>
      <c r="M9" s="55">
        <v>5663.5662750731035</v>
      </c>
    </row>
    <row r="10" spans="1:17" ht="14.5" x14ac:dyDescent="0.35">
      <c r="A10" s="46"/>
      <c r="B10" s="52"/>
      <c r="C10" s="53">
        <v>750</v>
      </c>
      <c r="D10" s="53">
        <v>750</v>
      </c>
      <c r="E10" s="53">
        <v>1351.8756939162454</v>
      </c>
      <c r="F10" s="53">
        <v>1908.1579887307882</v>
      </c>
      <c r="G10" s="53">
        <v>2436.7571890687063</v>
      </c>
      <c r="H10" s="54">
        <v>2945.6813633691158</v>
      </c>
      <c r="I10" s="53">
        <v>3439.4565401563477</v>
      </c>
      <c r="J10" s="53">
        <v>3920.9797321486781</v>
      </c>
      <c r="K10" s="53">
        <v>4392.2570878368751</v>
      </c>
      <c r="L10" s="53">
        <v>4854.7558799428352</v>
      </c>
      <c r="M10" s="55">
        <v>5309.5933828810348</v>
      </c>
    </row>
    <row r="11" spans="1:17" ht="14.5" x14ac:dyDescent="0.35">
      <c r="A11" s="46"/>
      <c r="B11" s="52"/>
      <c r="C11" s="53">
        <v>700</v>
      </c>
      <c r="D11" s="53">
        <v>700</v>
      </c>
      <c r="E11" s="53">
        <v>1261.7506476551623</v>
      </c>
      <c r="F11" s="53">
        <v>1780.9474561487357</v>
      </c>
      <c r="G11" s="53">
        <v>2274.3067097974595</v>
      </c>
      <c r="H11" s="53">
        <v>2749.3026058111745</v>
      </c>
      <c r="I11" s="54">
        <v>3210.159437479258</v>
      </c>
      <c r="J11" s="53">
        <v>3659.5810833387659</v>
      </c>
      <c r="K11" s="53">
        <v>4099.4399486477496</v>
      </c>
      <c r="L11" s="53">
        <v>4531.1054879466465</v>
      </c>
      <c r="M11" s="55">
        <v>4955.6204906889661</v>
      </c>
    </row>
    <row r="12" spans="1:17" ht="14.5" x14ac:dyDescent="0.35">
      <c r="A12" s="46"/>
      <c r="B12" s="52"/>
      <c r="C12" s="53">
        <v>650</v>
      </c>
      <c r="D12" s="53">
        <v>650</v>
      </c>
      <c r="E12" s="53">
        <v>1171.6256013940792</v>
      </c>
      <c r="F12" s="53">
        <v>1653.7369235666831</v>
      </c>
      <c r="G12" s="53">
        <v>2111.8562305262121</v>
      </c>
      <c r="H12" s="53">
        <v>2552.9238482532337</v>
      </c>
      <c r="I12" s="53">
        <v>2980.8623348021679</v>
      </c>
      <c r="J12" s="54">
        <v>3398.1824345288542</v>
      </c>
      <c r="K12" s="53">
        <v>3806.6228094586249</v>
      </c>
      <c r="L12" s="53">
        <v>4207.4550959504568</v>
      </c>
      <c r="M12" s="55">
        <v>4601.6475984968965</v>
      </c>
    </row>
    <row r="13" spans="1:17" ht="14.5" x14ac:dyDescent="0.35">
      <c r="A13" s="46"/>
      <c r="B13" s="52"/>
      <c r="C13" s="53">
        <v>600</v>
      </c>
      <c r="D13" s="53">
        <v>600</v>
      </c>
      <c r="E13" s="53">
        <v>1081.5005551329962</v>
      </c>
      <c r="F13" s="53">
        <v>1526.5263909846306</v>
      </c>
      <c r="G13" s="53">
        <v>1949.405751254965</v>
      </c>
      <c r="H13" s="53">
        <v>2356.5450906952929</v>
      </c>
      <c r="I13" s="53">
        <v>2751.5652321250782</v>
      </c>
      <c r="J13" s="53">
        <v>3136.7837857189425</v>
      </c>
      <c r="K13" s="54">
        <v>3513.8056702694998</v>
      </c>
      <c r="L13" s="53">
        <v>3883.804703954268</v>
      </c>
      <c r="M13" s="55">
        <v>4247.6747063048279</v>
      </c>
    </row>
    <row r="14" spans="1:17" ht="14.5" x14ac:dyDescent="0.35">
      <c r="A14" s="46"/>
      <c r="B14" s="52"/>
      <c r="C14" s="53">
        <v>550</v>
      </c>
      <c r="D14" s="53">
        <v>550</v>
      </c>
      <c r="E14" s="53">
        <v>991.37550887191321</v>
      </c>
      <c r="F14" s="53">
        <v>1399.315858402578</v>
      </c>
      <c r="G14" s="53">
        <v>1786.9552719837181</v>
      </c>
      <c r="H14" s="53">
        <v>2160.1663331373516</v>
      </c>
      <c r="I14" s="53">
        <v>2522.2681294479885</v>
      </c>
      <c r="J14" s="53">
        <v>2875.3851369090303</v>
      </c>
      <c r="K14" s="53">
        <v>3220.9885310803752</v>
      </c>
      <c r="L14" s="54">
        <v>3560.1543119580792</v>
      </c>
      <c r="M14" s="55">
        <v>3893.7018141127587</v>
      </c>
    </row>
    <row r="15" spans="1:17" ht="14.5" x14ac:dyDescent="0.35">
      <c r="A15" s="46"/>
      <c r="B15" s="56"/>
      <c r="C15" s="57">
        <v>500</v>
      </c>
      <c r="D15" s="57">
        <v>500</v>
      </c>
      <c r="E15" s="57">
        <v>901.25046261083014</v>
      </c>
      <c r="F15" s="57">
        <v>1272.1053258205254</v>
      </c>
      <c r="G15" s="57">
        <v>1624.504792712471</v>
      </c>
      <c r="H15" s="57">
        <v>1963.7875755794105</v>
      </c>
      <c r="I15" s="57">
        <v>2292.9710267708983</v>
      </c>
      <c r="J15" s="57">
        <v>2613.9864880991186</v>
      </c>
      <c r="K15" s="57">
        <v>2928.1713918912501</v>
      </c>
      <c r="L15" s="57">
        <v>3236.50391996189</v>
      </c>
      <c r="M15" s="58">
        <v>3539.7289219206896</v>
      </c>
    </row>
    <row r="16" spans="1:17" ht="14.5" x14ac:dyDescent="0.35">
      <c r="A16" s="46"/>
      <c r="B16" s="46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4"/>
    </row>
    <row r="17" spans="1:13" ht="15.5" x14ac:dyDescent="0.35">
      <c r="A17" s="42" t="s">
        <v>26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</row>
    <row r="18" spans="1:13" ht="14.5" x14ac:dyDescent="0.35">
      <c r="A18" s="45" t="s">
        <v>27</v>
      </c>
      <c r="B18" s="46"/>
      <c r="C18" s="45"/>
      <c r="D18" s="46"/>
      <c r="E18" s="46"/>
      <c r="F18" s="46"/>
      <c r="G18" s="46"/>
      <c r="H18" s="46"/>
      <c r="I18" s="46"/>
      <c r="J18" s="46"/>
      <c r="K18" s="46"/>
      <c r="L18" s="46"/>
      <c r="M18" s="46"/>
    </row>
    <row r="19" spans="1:13" ht="14.5" x14ac:dyDescent="0.3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</row>
    <row r="20" spans="1:13" ht="29" x14ac:dyDescent="0.35">
      <c r="A20" s="46"/>
      <c r="B20" s="46"/>
      <c r="C20" s="59" t="s">
        <v>28</v>
      </c>
      <c r="D20" s="60">
        <f>D6-$D$6</f>
        <v>0</v>
      </c>
      <c r="E20" s="61">
        <f t="shared" ref="E20:M20" si="0">E6-$D$6</f>
        <v>762.37587896057744</v>
      </c>
      <c r="F20" s="61">
        <f t="shared" si="0"/>
        <v>1467.0001190589983</v>
      </c>
      <c r="G20" s="61">
        <f t="shared" si="0"/>
        <v>2136.5591061536948</v>
      </c>
      <c r="H20" s="61">
        <f t="shared" si="0"/>
        <v>2781.1963936008801</v>
      </c>
      <c r="I20" s="61">
        <f t="shared" si="0"/>
        <v>3406.6449508647074</v>
      </c>
      <c r="J20" s="61">
        <f t="shared" si="0"/>
        <v>4016.5743273883254</v>
      </c>
      <c r="K20" s="61">
        <f t="shared" si="0"/>
        <v>4613.5256445933746</v>
      </c>
      <c r="L20" s="61">
        <f t="shared" si="0"/>
        <v>5199.3574479275912</v>
      </c>
      <c r="M20" s="62">
        <f t="shared" si="0"/>
        <v>5775.4849516493105</v>
      </c>
    </row>
    <row r="21" spans="1:13" ht="14.5" x14ac:dyDescent="0.35">
      <c r="A21" s="46"/>
      <c r="B21" s="46"/>
      <c r="C21" s="63" t="s">
        <v>29</v>
      </c>
      <c r="D21" s="64">
        <f>D6-$D$6</f>
        <v>0</v>
      </c>
      <c r="E21" s="57">
        <f>E7-$D$6</f>
        <v>672.25083269949437</v>
      </c>
      <c r="F21" s="57">
        <f>F8-$D$6</f>
        <v>1212.5790538948931</v>
      </c>
      <c r="G21" s="65">
        <f>G9-$D$6</f>
        <v>1649.2076683399537</v>
      </c>
      <c r="H21" s="57">
        <f>H10-$D$6</f>
        <v>1995.6813633691158</v>
      </c>
      <c r="I21" s="57">
        <f>I11-$D$6</f>
        <v>2260.159437479258</v>
      </c>
      <c r="J21" s="65">
        <f>J12-$D$6</f>
        <v>2448.1824345288542</v>
      </c>
      <c r="K21" s="57">
        <f>K13-$D$6</f>
        <v>2563.8056702694998</v>
      </c>
      <c r="L21" s="57">
        <f>L14-$D$6</f>
        <v>2610.1543119580792</v>
      </c>
      <c r="M21" s="66">
        <f>M15-$D$6</f>
        <v>2589.7289219206896</v>
      </c>
    </row>
    <row r="22" spans="1:13" ht="14.5" x14ac:dyDescent="0.35">
      <c r="F22" s="46"/>
      <c r="G22" s="46"/>
      <c r="H22" s="46"/>
      <c r="I22" s="46"/>
      <c r="J22" s="46"/>
      <c r="K22" s="46"/>
      <c r="L22" s="46"/>
      <c r="M22" s="46"/>
    </row>
    <row r="23" spans="1:13" ht="29" x14ac:dyDescent="0.35">
      <c r="A23" s="46"/>
      <c r="B23" s="46"/>
      <c r="C23" s="67" t="s">
        <v>30</v>
      </c>
      <c r="D23" s="68">
        <f>D21/D6</f>
        <v>0</v>
      </c>
      <c r="E23" s="69">
        <f t="shared" ref="E23:M23" si="1">E21/$D$6</f>
        <v>0.70763245547315201</v>
      </c>
      <c r="F23" s="69">
        <f t="shared" si="1"/>
        <v>1.2763990040998876</v>
      </c>
      <c r="G23" s="69">
        <f t="shared" si="1"/>
        <v>1.7360080719367934</v>
      </c>
      <c r="H23" s="69">
        <f t="shared" si="1"/>
        <v>2.1007172245990695</v>
      </c>
      <c r="I23" s="69">
        <f t="shared" si="1"/>
        <v>2.3791151973465876</v>
      </c>
      <c r="J23" s="69">
        <f t="shared" si="1"/>
        <v>2.5770341416093201</v>
      </c>
      <c r="K23" s="69">
        <f t="shared" si="1"/>
        <v>2.6987428108099998</v>
      </c>
      <c r="L23" s="69">
        <f t="shared" si="1"/>
        <v>2.7475308546927151</v>
      </c>
      <c r="M23" s="70">
        <f t="shared" si="1"/>
        <v>2.7260304441270415</v>
      </c>
    </row>
    <row r="24" spans="1:13" ht="14.5" x14ac:dyDescent="0.35">
      <c r="A24" s="45" t="s">
        <v>31</v>
      </c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</row>
    <row r="25" spans="1:13" ht="58" x14ac:dyDescent="0.35">
      <c r="A25" s="46"/>
      <c r="B25" s="46"/>
      <c r="C25" s="71" t="s">
        <v>32</v>
      </c>
      <c r="D25" s="69">
        <f>L14/L14</f>
        <v>1</v>
      </c>
      <c r="E25" s="69">
        <f>L13/$L$14</f>
        <v>1.0909090909090908</v>
      </c>
      <c r="F25" s="69">
        <f>L12/$L$14</f>
        <v>1.1818181818181817</v>
      </c>
      <c r="G25" s="69">
        <f>L11/$L$14</f>
        <v>1.2727272727272727</v>
      </c>
      <c r="H25" s="69">
        <f>L10/$L$14</f>
        <v>1.3636363636363635</v>
      </c>
      <c r="I25" s="69">
        <f>L9/$L$14</f>
        <v>1.4545454545454544</v>
      </c>
      <c r="J25" s="69">
        <f>L8/$L$14</f>
        <v>1.5454545454545452</v>
      </c>
      <c r="K25" s="69">
        <f>L7/$L$14</f>
        <v>1.6363636363636365</v>
      </c>
      <c r="L25" s="69">
        <f>L6/$L$14</f>
        <v>1.7272727272727273</v>
      </c>
      <c r="M25" s="72"/>
    </row>
    <row r="26" spans="1:13" ht="14.5" x14ac:dyDescent="0.35">
      <c r="A26" s="46"/>
      <c r="B26" s="46"/>
      <c r="C26" s="73" t="s">
        <v>33</v>
      </c>
      <c r="D26" s="74">
        <f>D25</f>
        <v>1</v>
      </c>
      <c r="E26" s="74">
        <f>E25-D25</f>
        <v>9.0909090909090828E-2</v>
      </c>
      <c r="F26" s="74">
        <f t="shared" ref="F26:L26" si="2">F25-E25</f>
        <v>9.0909090909090828E-2</v>
      </c>
      <c r="G26" s="74">
        <f t="shared" si="2"/>
        <v>9.090909090909105E-2</v>
      </c>
      <c r="H26" s="74">
        <f t="shared" si="2"/>
        <v>9.0909090909090828E-2</v>
      </c>
      <c r="I26" s="74">
        <f t="shared" si="2"/>
        <v>9.0909090909090828E-2</v>
      </c>
      <c r="J26" s="74">
        <f t="shared" si="2"/>
        <v>9.0909090909090828E-2</v>
      </c>
      <c r="K26" s="74">
        <f t="shared" si="2"/>
        <v>9.0909090909091272E-2</v>
      </c>
      <c r="L26" s="74">
        <f t="shared" si="2"/>
        <v>9.0909090909090828E-2</v>
      </c>
      <c r="M26" s="75"/>
    </row>
    <row r="27" spans="1:13" ht="14.5" x14ac:dyDescent="0.3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</row>
    <row r="28" spans="1:13" ht="14.5" x14ac:dyDescent="0.3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BB0-6F06-4208-B9B5-2E5D55D3FD35}">
  <dimension ref="B1:R44"/>
  <sheetViews>
    <sheetView workbookViewId="0">
      <selection activeCell="B18" sqref="B18"/>
    </sheetView>
  </sheetViews>
  <sheetFormatPr defaultColWidth="9.1796875" defaultRowHeight="12.5" x14ac:dyDescent="0.25"/>
  <cols>
    <col min="1" max="1" width="1.7265625" style="43" customWidth="1"/>
    <col min="2" max="2" width="50" style="43" customWidth="1"/>
    <col min="3" max="3" width="29.81640625" style="43" customWidth="1"/>
    <col min="4" max="4" width="14" style="43" customWidth="1"/>
    <col min="5" max="16384" width="9.1796875" style="43"/>
  </cols>
  <sheetData>
    <row r="1" spans="2:5" ht="15.5" x14ac:dyDescent="0.35">
      <c r="B1" s="76" t="s">
        <v>42</v>
      </c>
    </row>
    <row r="2" spans="2:5" ht="14.5" x14ac:dyDescent="0.35">
      <c r="B2" s="77"/>
      <c r="C2" s="78"/>
    </row>
    <row r="3" spans="2:5" ht="15.5" x14ac:dyDescent="0.35">
      <c r="B3" s="168" t="s">
        <v>34</v>
      </c>
      <c r="C3" s="169"/>
      <c r="D3" s="46"/>
      <c r="E3" s="80"/>
    </row>
    <row r="4" spans="2:5" ht="15.5" x14ac:dyDescent="0.35">
      <c r="B4" s="79" t="s">
        <v>36</v>
      </c>
      <c r="C4" s="79" t="s">
        <v>37</v>
      </c>
      <c r="D4" s="46"/>
      <c r="E4" s="80"/>
    </row>
    <row r="5" spans="2:5" ht="15.5" x14ac:dyDescent="0.35">
      <c r="B5" s="79" t="s">
        <v>12</v>
      </c>
      <c r="C5" s="79">
        <v>50</v>
      </c>
      <c r="D5" s="78"/>
      <c r="E5" s="81"/>
    </row>
    <row r="6" spans="2:5" ht="15.5" x14ac:dyDescent="0.35">
      <c r="B6" s="79" t="s">
        <v>38</v>
      </c>
      <c r="C6" s="82">
        <v>1000</v>
      </c>
      <c r="D6" s="78"/>
      <c r="E6" s="83"/>
    </row>
    <row r="7" spans="2:5" ht="15.5" x14ac:dyDescent="0.35">
      <c r="B7" s="79" t="s">
        <v>39</v>
      </c>
      <c r="C7" s="79">
        <v>0.85</v>
      </c>
      <c r="D7" s="78"/>
      <c r="E7" s="83"/>
    </row>
    <row r="8" spans="2:5" ht="15.5" x14ac:dyDescent="0.35">
      <c r="B8" s="79" t="s">
        <v>40</v>
      </c>
      <c r="C8" s="79">
        <v>950</v>
      </c>
      <c r="D8" s="78"/>
      <c r="E8" s="84"/>
    </row>
    <row r="9" spans="2:5" ht="9.75" customHeight="1" x14ac:dyDescent="0.35">
      <c r="B9" s="78"/>
      <c r="C9" s="83"/>
    </row>
    <row r="10" spans="2:5" ht="5.25" customHeight="1" x14ac:dyDescent="0.35">
      <c r="B10" s="85"/>
      <c r="C10" s="86"/>
    </row>
    <row r="11" spans="2:5" ht="14.5" x14ac:dyDescent="0.35">
      <c r="B11" s="170" t="s">
        <v>41</v>
      </c>
      <c r="C11" s="171"/>
    </row>
    <row r="12" spans="2:5" ht="14.5" x14ac:dyDescent="0.35">
      <c r="B12" s="88" t="s">
        <v>43</v>
      </c>
      <c r="C12" s="87">
        <v>1</v>
      </c>
    </row>
    <row r="13" spans="2:5" ht="14.5" x14ac:dyDescent="0.35">
      <c r="B13" s="88" t="s">
        <v>44</v>
      </c>
      <c r="C13" s="87">
        <f>C6-C5*C12</f>
        <v>950</v>
      </c>
    </row>
    <row r="14" spans="2:5" ht="14.5" x14ac:dyDescent="0.35">
      <c r="B14" s="85"/>
      <c r="C14" s="89"/>
    </row>
    <row r="15" spans="2:5" ht="14.5" x14ac:dyDescent="0.35">
      <c r="B15" s="170" t="s">
        <v>45</v>
      </c>
      <c r="C15" s="171"/>
    </row>
    <row r="16" spans="2:5" ht="14.5" x14ac:dyDescent="0.35">
      <c r="B16" s="88" t="s">
        <v>46</v>
      </c>
      <c r="C16" s="87">
        <f>C13*C12^C7</f>
        <v>950</v>
      </c>
    </row>
    <row r="17" spans="2:18" ht="14.5" x14ac:dyDescent="0.35">
      <c r="B17" s="85"/>
      <c r="C17" s="86"/>
    </row>
    <row r="18" spans="2:18" ht="14.5" x14ac:dyDescent="0.35">
      <c r="B18" s="170" t="s">
        <v>18</v>
      </c>
      <c r="C18" s="171"/>
    </row>
    <row r="19" spans="2:18" ht="14.5" x14ac:dyDescent="0.35">
      <c r="B19" s="172" t="s">
        <v>47</v>
      </c>
      <c r="C19" s="173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Q19" s="46"/>
      <c r="R19" s="47"/>
    </row>
    <row r="20" spans="2:18" ht="14.5" x14ac:dyDescent="0.35">
      <c r="B20" s="90" t="s">
        <v>48</v>
      </c>
      <c r="C20" s="91">
        <f>C16-C8</f>
        <v>0</v>
      </c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</row>
    <row r="21" spans="2:18" ht="14.5" x14ac:dyDescent="0.35">
      <c r="B21" s="90"/>
      <c r="C21" s="92">
        <f>C20/C8</f>
        <v>0</v>
      </c>
      <c r="D21" s="53"/>
      <c r="E21" s="46"/>
      <c r="F21" s="46"/>
      <c r="G21" s="46"/>
      <c r="H21" s="46"/>
      <c r="I21" s="46"/>
      <c r="J21" s="46"/>
      <c r="K21" s="46"/>
      <c r="L21" s="46"/>
      <c r="M21" s="46"/>
      <c r="N21" s="46"/>
    </row>
    <row r="22" spans="2:18" ht="14.5" x14ac:dyDescent="0.35">
      <c r="B22" s="46"/>
      <c r="C22" s="46"/>
      <c r="D22" s="53"/>
      <c r="E22" s="54"/>
      <c r="F22" s="53"/>
      <c r="G22" s="53"/>
      <c r="H22" s="53"/>
      <c r="I22" s="53"/>
      <c r="J22" s="53"/>
      <c r="K22" s="53"/>
      <c r="L22" s="53"/>
      <c r="M22" s="53"/>
      <c r="N22" s="53"/>
    </row>
    <row r="23" spans="2:18" ht="14.5" x14ac:dyDescent="0.35">
      <c r="B23" s="46"/>
      <c r="C23" s="46"/>
      <c r="D23" s="53"/>
      <c r="E23" s="53"/>
      <c r="F23" s="54"/>
      <c r="G23" s="53"/>
      <c r="H23" s="53"/>
      <c r="I23" s="53"/>
      <c r="J23" s="53"/>
      <c r="K23" s="53"/>
      <c r="L23" s="53"/>
      <c r="M23" s="53"/>
      <c r="N23" s="53"/>
    </row>
    <row r="24" spans="2:18" ht="14.5" x14ac:dyDescent="0.35">
      <c r="B24" s="46"/>
      <c r="C24" s="46"/>
      <c r="D24" s="53"/>
      <c r="E24" s="53"/>
      <c r="F24" s="53"/>
      <c r="G24" s="54"/>
      <c r="H24" s="53"/>
      <c r="I24" s="53"/>
      <c r="J24" s="53"/>
      <c r="K24" s="53"/>
      <c r="L24" s="53"/>
      <c r="M24" s="53"/>
      <c r="N24" s="53"/>
    </row>
    <row r="25" spans="2:18" ht="14.5" x14ac:dyDescent="0.35">
      <c r="B25" s="46"/>
      <c r="C25" s="46"/>
      <c r="D25" s="53"/>
      <c r="E25" s="53"/>
      <c r="F25" s="53"/>
      <c r="G25" s="53"/>
      <c r="H25" s="54"/>
      <c r="I25" s="53"/>
      <c r="J25" s="53"/>
      <c r="K25" s="53"/>
      <c r="L25" s="53"/>
      <c r="M25" s="53"/>
      <c r="N25" s="53"/>
    </row>
    <row r="26" spans="2:18" ht="14.5" x14ac:dyDescent="0.35">
      <c r="B26" s="46"/>
      <c r="C26" s="46"/>
      <c r="D26" s="53"/>
      <c r="E26" s="53"/>
      <c r="F26" s="53"/>
      <c r="G26" s="53"/>
      <c r="H26" s="53"/>
      <c r="I26" s="54"/>
      <c r="J26" s="53"/>
      <c r="K26" s="53"/>
      <c r="L26" s="53"/>
      <c r="M26" s="53"/>
      <c r="N26" s="53"/>
    </row>
    <row r="27" spans="2:18" ht="14.5" x14ac:dyDescent="0.35">
      <c r="B27" s="46"/>
      <c r="C27" s="46"/>
      <c r="D27" s="53"/>
      <c r="E27" s="53"/>
      <c r="F27" s="53"/>
      <c r="G27" s="53"/>
      <c r="H27" s="53"/>
      <c r="I27" s="53"/>
      <c r="J27" s="54"/>
      <c r="K27" s="53"/>
      <c r="L27" s="53"/>
      <c r="M27" s="53"/>
      <c r="N27" s="53"/>
    </row>
    <row r="28" spans="2:18" ht="14.5" x14ac:dyDescent="0.35">
      <c r="B28" s="46"/>
      <c r="C28" s="46"/>
      <c r="D28" s="53"/>
      <c r="E28" s="53"/>
      <c r="F28" s="53"/>
      <c r="G28" s="53"/>
      <c r="H28" s="53"/>
      <c r="I28" s="53"/>
      <c r="J28" s="53"/>
      <c r="K28" s="54"/>
      <c r="L28" s="53"/>
      <c r="M28" s="53"/>
      <c r="N28" s="53"/>
    </row>
    <row r="29" spans="2:18" ht="14.5" x14ac:dyDescent="0.35">
      <c r="B29" s="46"/>
      <c r="C29" s="46"/>
      <c r="D29" s="53"/>
      <c r="E29" s="53"/>
      <c r="F29" s="53"/>
      <c r="G29" s="53"/>
      <c r="H29" s="53"/>
      <c r="I29" s="53"/>
      <c r="J29" s="53"/>
      <c r="K29" s="53"/>
      <c r="L29" s="54"/>
      <c r="M29" s="53"/>
      <c r="N29" s="53"/>
    </row>
    <row r="30" spans="2:18" ht="14.5" x14ac:dyDescent="0.35">
      <c r="B30" s="46"/>
      <c r="C30" s="46"/>
      <c r="D30" s="53"/>
      <c r="E30" s="53"/>
      <c r="F30" s="53"/>
      <c r="G30" s="53"/>
      <c r="H30" s="53"/>
      <c r="I30" s="53"/>
      <c r="J30" s="53"/>
      <c r="K30" s="53"/>
      <c r="L30" s="53"/>
      <c r="M30" s="54"/>
      <c r="N30" s="53"/>
    </row>
    <row r="31" spans="2:18" ht="14.5" x14ac:dyDescent="0.35">
      <c r="B31" s="46"/>
      <c r="C31" s="46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4"/>
    </row>
    <row r="32" spans="2:18" ht="14.5" x14ac:dyDescent="0.35">
      <c r="B32" s="46"/>
      <c r="C32" s="46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4"/>
    </row>
    <row r="33" spans="2:14" ht="15.5" x14ac:dyDescent="0.35">
      <c r="B33" s="42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</row>
    <row r="34" spans="2:14" ht="14.5" x14ac:dyDescent="0.35">
      <c r="B34" s="45"/>
      <c r="C34" s="46"/>
      <c r="D34" s="45"/>
      <c r="E34" s="46"/>
      <c r="F34" s="46"/>
      <c r="G34" s="46"/>
      <c r="H34" s="46"/>
      <c r="I34" s="46"/>
      <c r="J34" s="46"/>
      <c r="K34" s="46"/>
      <c r="L34" s="46"/>
      <c r="M34" s="46"/>
      <c r="N34" s="46"/>
    </row>
    <row r="35" spans="2:14" ht="14.5" x14ac:dyDescent="0.35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</row>
    <row r="36" spans="2:14" ht="14.5" x14ac:dyDescent="0.35">
      <c r="B36" s="46"/>
      <c r="C36" s="46"/>
      <c r="D36" s="156"/>
      <c r="E36" s="53"/>
      <c r="F36" s="53"/>
      <c r="G36" s="53"/>
      <c r="H36" s="53"/>
      <c r="I36" s="53"/>
      <c r="J36" s="53"/>
      <c r="K36" s="53"/>
      <c r="L36" s="53"/>
      <c r="M36" s="53"/>
      <c r="N36" s="53"/>
    </row>
    <row r="37" spans="2:14" ht="14.5" x14ac:dyDescent="0.35">
      <c r="B37" s="46"/>
      <c r="C37" s="46"/>
      <c r="D37" s="156"/>
      <c r="E37" s="157"/>
      <c r="F37" s="53"/>
      <c r="G37" s="53"/>
      <c r="H37" s="157"/>
      <c r="I37" s="53"/>
      <c r="J37" s="53"/>
      <c r="K37" s="157"/>
      <c r="L37" s="53"/>
      <c r="M37" s="53"/>
      <c r="N37" s="157"/>
    </row>
    <row r="38" spans="2:14" ht="14.5" x14ac:dyDescent="0.35">
      <c r="G38" s="46"/>
      <c r="H38" s="46"/>
      <c r="I38" s="46"/>
      <c r="J38" s="46"/>
      <c r="K38" s="46"/>
      <c r="L38" s="46"/>
      <c r="M38" s="46"/>
      <c r="N38" s="46"/>
    </row>
    <row r="39" spans="2:14" ht="14.5" x14ac:dyDescent="0.35">
      <c r="B39" s="46"/>
      <c r="C39" s="46"/>
      <c r="D39" s="158"/>
      <c r="E39" s="159"/>
      <c r="F39" s="159"/>
      <c r="G39" s="159"/>
      <c r="H39" s="159"/>
      <c r="I39" s="159"/>
      <c r="J39" s="159"/>
      <c r="K39" s="159"/>
      <c r="L39" s="159"/>
      <c r="M39" s="159"/>
      <c r="N39" s="159"/>
    </row>
    <row r="40" spans="2:14" ht="14.5" x14ac:dyDescent="0.35">
      <c r="B40" s="45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</row>
    <row r="41" spans="2:14" ht="14.5" x14ac:dyDescent="0.35">
      <c r="B41" s="46"/>
      <c r="C41" s="46"/>
      <c r="D41" s="160"/>
      <c r="E41" s="159"/>
      <c r="F41" s="159"/>
      <c r="G41" s="159"/>
      <c r="H41" s="159"/>
      <c r="I41" s="159"/>
      <c r="J41" s="159"/>
      <c r="K41" s="159"/>
      <c r="L41" s="159"/>
      <c r="M41" s="159"/>
      <c r="N41" s="46"/>
    </row>
    <row r="42" spans="2:14" ht="14.5" x14ac:dyDescent="0.35">
      <c r="B42" s="46"/>
      <c r="C42" s="46"/>
      <c r="D42" s="46"/>
      <c r="E42" s="159"/>
      <c r="F42" s="159"/>
      <c r="G42" s="159"/>
      <c r="H42" s="159"/>
      <c r="I42" s="159"/>
      <c r="J42" s="159"/>
      <c r="K42" s="159"/>
      <c r="L42" s="159"/>
      <c r="M42" s="159"/>
      <c r="N42" s="46"/>
    </row>
    <row r="43" spans="2:14" ht="14.5" x14ac:dyDescent="0.35"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</row>
    <row r="44" spans="2:14" ht="14.5" x14ac:dyDescent="0.35"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</row>
  </sheetData>
  <mergeCells count="5">
    <mergeCell ref="B3:C3"/>
    <mergeCell ref="B11:C11"/>
    <mergeCell ref="B15:C15"/>
    <mergeCell ref="B18:C18"/>
    <mergeCell ref="B19:C19"/>
  </mergeCells>
  <dataValidations count="1">
    <dataValidation type="whole" allowBlank="1" showInputMessage="1" showErrorMessage="1" errorTitle="Draft Error" error="Draft Number must be between 1 and 10" promptTitle="Draft Number" prompt="Can commission 1 to 10 drafts" sqref="C9" xr:uid="{1F1B6CD0-A41B-4E76-BC48-990AAB20751C}">
      <formula1>1</formula1>
      <formula2>10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26DF1-0853-4D1C-9D96-E073189D698C}">
  <dimension ref="B2:T35"/>
  <sheetViews>
    <sheetView workbookViewId="0">
      <selection activeCell="D7" sqref="D7"/>
    </sheetView>
  </sheetViews>
  <sheetFormatPr defaultColWidth="8.81640625" defaultRowHeight="12.5" x14ac:dyDescent="0.25"/>
  <cols>
    <col min="1" max="1" width="2.7265625" style="43" customWidth="1"/>
    <col min="2" max="2" width="47" style="43" customWidth="1"/>
    <col min="3" max="3" width="20.26953125" style="43" customWidth="1"/>
    <col min="4" max="4" width="40.1796875" style="43" customWidth="1"/>
    <col min="5" max="5" width="24.453125" style="43" customWidth="1"/>
    <col min="6" max="16384" width="8.81640625" style="43"/>
  </cols>
  <sheetData>
    <row r="2" spans="2:5" ht="14.5" x14ac:dyDescent="0.35">
      <c r="B2" s="129" t="s">
        <v>49</v>
      </c>
      <c r="C2" s="130"/>
      <c r="D2" s="131" t="s">
        <v>51</v>
      </c>
      <c r="E2" s="132"/>
    </row>
    <row r="3" spans="2:5" ht="14.5" x14ac:dyDescent="0.35">
      <c r="B3" s="128" t="s">
        <v>34</v>
      </c>
      <c r="C3" s="108" t="s">
        <v>35</v>
      </c>
      <c r="D3" s="128" t="s">
        <v>34</v>
      </c>
      <c r="E3" s="101" t="s">
        <v>35</v>
      </c>
    </row>
    <row r="4" spans="2:5" ht="14.5" x14ac:dyDescent="0.35">
      <c r="B4" s="100" t="s">
        <v>36</v>
      </c>
      <c r="C4" s="108" t="s">
        <v>37</v>
      </c>
      <c r="D4" s="100" t="s">
        <v>36</v>
      </c>
      <c r="E4" s="101" t="s">
        <v>37</v>
      </c>
    </row>
    <row r="5" spans="2:5" ht="14.5" x14ac:dyDescent="0.35">
      <c r="B5" s="100" t="s">
        <v>12</v>
      </c>
      <c r="C5" s="108">
        <v>50</v>
      </c>
      <c r="D5" s="100" t="s">
        <v>12</v>
      </c>
      <c r="E5" s="101">
        <v>50</v>
      </c>
    </row>
    <row r="6" spans="2:5" ht="14.5" x14ac:dyDescent="0.35">
      <c r="B6" s="100" t="s">
        <v>38</v>
      </c>
      <c r="C6" s="120">
        <v>1000</v>
      </c>
      <c r="D6" s="100" t="s">
        <v>38</v>
      </c>
      <c r="E6" s="102">
        <v>1000</v>
      </c>
    </row>
    <row r="7" spans="2:5" ht="14.5" x14ac:dyDescent="0.35">
      <c r="B7" s="100" t="s">
        <v>39</v>
      </c>
      <c r="C7" s="108">
        <v>0.85</v>
      </c>
      <c r="D7" s="100" t="s">
        <v>39</v>
      </c>
      <c r="E7" s="101">
        <v>0.85</v>
      </c>
    </row>
    <row r="8" spans="2:5" ht="14.5" x14ac:dyDescent="0.35">
      <c r="B8" s="100" t="s">
        <v>40</v>
      </c>
      <c r="C8" s="108">
        <v>950</v>
      </c>
      <c r="D8" s="100" t="s">
        <v>40</v>
      </c>
      <c r="E8" s="101">
        <v>950</v>
      </c>
    </row>
    <row r="9" spans="2:5" ht="15.5" x14ac:dyDescent="0.35">
      <c r="B9" s="109"/>
      <c r="C9" s="121"/>
      <c r="D9" s="109"/>
      <c r="E9" s="110"/>
    </row>
    <row r="10" spans="2:5" ht="14.5" x14ac:dyDescent="0.35">
      <c r="B10" s="111"/>
      <c r="C10" s="122"/>
      <c r="D10" s="111"/>
      <c r="E10" s="112"/>
    </row>
    <row r="11" spans="2:5" ht="14.5" x14ac:dyDescent="0.35">
      <c r="B11" s="111"/>
      <c r="C11" s="122"/>
      <c r="D11" s="111"/>
      <c r="E11" s="112"/>
    </row>
    <row r="12" spans="2:5" ht="14.5" x14ac:dyDescent="0.35">
      <c r="B12" s="113" t="s">
        <v>41</v>
      </c>
      <c r="C12" s="122"/>
      <c r="D12" s="113" t="s">
        <v>41</v>
      </c>
      <c r="E12" s="112"/>
    </row>
    <row r="13" spans="2:5" ht="14.5" x14ac:dyDescent="0.35">
      <c r="B13" s="111" t="s">
        <v>43</v>
      </c>
      <c r="C13" s="122">
        <v>9</v>
      </c>
      <c r="D13" s="111" t="s">
        <v>43</v>
      </c>
      <c r="E13" s="125">
        <v>4.69669955770578</v>
      </c>
    </row>
    <row r="14" spans="2:5" ht="14.5" x14ac:dyDescent="0.35">
      <c r="B14" s="111" t="s">
        <v>44</v>
      </c>
      <c r="C14" s="122">
        <f>C6-C5*C13</f>
        <v>550</v>
      </c>
      <c r="D14" s="111" t="s">
        <v>44</v>
      </c>
      <c r="E14" s="112">
        <f>E6-E5*E13</f>
        <v>765.16502211471106</v>
      </c>
    </row>
    <row r="15" spans="2:5" ht="14.5" x14ac:dyDescent="0.35">
      <c r="B15" s="111"/>
      <c r="C15" s="122"/>
      <c r="D15" s="111"/>
      <c r="E15" s="112"/>
    </row>
    <row r="16" spans="2:5" ht="14.5" x14ac:dyDescent="0.35">
      <c r="B16" s="113" t="s">
        <v>45</v>
      </c>
      <c r="C16" s="122"/>
      <c r="D16" s="113" t="s">
        <v>45</v>
      </c>
      <c r="E16" s="112"/>
    </row>
    <row r="17" spans="2:20" ht="14.5" x14ac:dyDescent="0.35">
      <c r="B17" s="111" t="s">
        <v>52</v>
      </c>
      <c r="C17" s="122">
        <f>C14*C13^C7</f>
        <v>3560.1543119580792</v>
      </c>
      <c r="D17" s="111" t="s">
        <v>52</v>
      </c>
      <c r="E17" s="112">
        <f>E14*E13^E7</f>
        <v>2849.5676499485253</v>
      </c>
    </row>
    <row r="18" spans="2:20" ht="14.5" x14ac:dyDescent="0.35">
      <c r="B18" s="111"/>
      <c r="C18" s="122"/>
      <c r="D18" s="111"/>
      <c r="E18" s="112"/>
    </row>
    <row r="19" spans="2:20" ht="14.5" x14ac:dyDescent="0.35">
      <c r="B19" s="111"/>
      <c r="C19" s="104"/>
      <c r="D19" s="111"/>
      <c r="E19" s="114"/>
    </row>
    <row r="20" spans="2:20" x14ac:dyDescent="0.25">
      <c r="B20" s="115"/>
      <c r="C20" s="104"/>
      <c r="D20" s="115"/>
      <c r="E20" s="114"/>
    </row>
    <row r="21" spans="2:20" ht="14.5" x14ac:dyDescent="0.35">
      <c r="B21" s="113" t="s">
        <v>18</v>
      </c>
      <c r="C21" s="104"/>
      <c r="D21" s="113" t="s">
        <v>18</v>
      </c>
      <c r="E21" s="114"/>
    </row>
    <row r="22" spans="2:20" ht="14.5" x14ac:dyDescent="0.35">
      <c r="B22" s="116" t="s">
        <v>47</v>
      </c>
      <c r="C22" s="104"/>
      <c r="D22" s="116" t="s">
        <v>47</v>
      </c>
      <c r="E22" s="114"/>
      <c r="F22" s="46"/>
      <c r="G22" s="46"/>
      <c r="H22" s="46"/>
      <c r="I22" s="46"/>
      <c r="J22" s="46"/>
      <c r="K22" s="46"/>
      <c r="L22" s="46"/>
      <c r="M22" s="46"/>
      <c r="N22" s="46"/>
    </row>
    <row r="23" spans="2:20" ht="14.5" x14ac:dyDescent="0.35">
      <c r="B23" s="52" t="s">
        <v>48</v>
      </c>
      <c r="C23" s="122">
        <f>C17-C8</f>
        <v>2610.1543119580792</v>
      </c>
      <c r="D23" s="52" t="s">
        <v>48</v>
      </c>
      <c r="E23" s="112">
        <f>E17-E8</f>
        <v>1899.5676499485253</v>
      </c>
      <c r="F23" s="103"/>
      <c r="G23" s="103"/>
      <c r="H23" s="103"/>
      <c r="I23" s="103"/>
      <c r="J23" s="103"/>
      <c r="K23" s="103"/>
      <c r="L23" s="103"/>
      <c r="M23" s="103"/>
      <c r="N23" s="103"/>
      <c r="O23" s="104"/>
      <c r="P23" s="104"/>
      <c r="Q23" s="104"/>
      <c r="R23" s="104"/>
      <c r="S23" s="104"/>
      <c r="T23" s="104"/>
    </row>
    <row r="24" spans="2:20" ht="14.5" x14ac:dyDescent="0.35">
      <c r="B24" s="52"/>
      <c r="C24" s="123">
        <f>C23/C8</f>
        <v>2.7475308546927151</v>
      </c>
      <c r="D24" s="52"/>
      <c r="E24" s="117">
        <f>E23/E8</f>
        <v>1.9995448946826582</v>
      </c>
      <c r="F24" s="103"/>
      <c r="G24" s="103"/>
      <c r="H24" s="103"/>
      <c r="I24" s="103"/>
      <c r="J24" s="103"/>
      <c r="K24" s="103"/>
      <c r="L24" s="103"/>
      <c r="M24" s="103"/>
      <c r="N24" s="103"/>
      <c r="O24" s="104"/>
      <c r="P24" s="104"/>
      <c r="Q24" s="104"/>
      <c r="R24" s="104"/>
      <c r="S24" s="104"/>
      <c r="T24" s="104"/>
    </row>
    <row r="25" spans="2:20" ht="14.5" x14ac:dyDescent="0.35">
      <c r="B25" s="118" t="s">
        <v>50</v>
      </c>
      <c r="C25" s="105">
        <f>C23/C8</f>
        <v>2.7475308546927151</v>
      </c>
      <c r="D25" s="118" t="s">
        <v>50</v>
      </c>
      <c r="E25" s="119">
        <f>E23/E8</f>
        <v>1.9995448946826582</v>
      </c>
      <c r="F25" s="106"/>
      <c r="G25" s="106"/>
      <c r="H25" s="106"/>
      <c r="I25" s="106"/>
      <c r="J25" s="106"/>
      <c r="K25" s="106"/>
      <c r="L25" s="106"/>
      <c r="M25" s="106"/>
      <c r="N25" s="106"/>
      <c r="O25" s="104"/>
      <c r="P25" s="104"/>
      <c r="Q25" s="104"/>
      <c r="R25" s="104"/>
      <c r="S25" s="104"/>
      <c r="T25" s="104"/>
    </row>
    <row r="26" spans="2:20" ht="14.5" x14ac:dyDescent="0.35">
      <c r="B26" s="56"/>
      <c r="C26" s="124"/>
      <c r="D26" s="126"/>
      <c r="E26" s="127"/>
      <c r="F26" s="107"/>
      <c r="G26" s="106"/>
      <c r="H26" s="106"/>
      <c r="I26" s="106"/>
      <c r="J26" s="106"/>
      <c r="K26" s="106"/>
      <c r="L26" s="106"/>
      <c r="M26" s="106"/>
      <c r="N26" s="106"/>
      <c r="O26" s="104"/>
      <c r="P26" s="104"/>
      <c r="Q26" s="104"/>
      <c r="R26" s="104"/>
      <c r="S26" s="104"/>
      <c r="T26" s="104"/>
    </row>
    <row r="27" spans="2:20" ht="14.5" x14ac:dyDescent="0.35">
      <c r="B27" s="46"/>
      <c r="C27" s="103"/>
      <c r="D27" s="106"/>
      <c r="E27" s="106"/>
      <c r="F27" s="106"/>
      <c r="G27" s="107"/>
      <c r="H27" s="106"/>
      <c r="I27" s="106"/>
      <c r="J27" s="106"/>
      <c r="K27" s="106"/>
      <c r="L27" s="106"/>
      <c r="M27" s="106"/>
      <c r="N27" s="106"/>
      <c r="O27" s="104"/>
      <c r="P27" s="104"/>
      <c r="Q27" s="104"/>
      <c r="R27" s="104"/>
      <c r="S27" s="104"/>
      <c r="T27" s="104"/>
    </row>
    <row r="28" spans="2:20" ht="14.5" x14ac:dyDescent="0.35">
      <c r="B28" s="46"/>
      <c r="C28" s="103"/>
      <c r="D28" s="106"/>
      <c r="E28" s="106"/>
      <c r="F28" s="106"/>
      <c r="G28" s="106"/>
      <c r="H28" s="107"/>
      <c r="I28" s="106"/>
      <c r="J28" s="106"/>
      <c r="K28" s="106"/>
      <c r="L28" s="106"/>
      <c r="M28" s="106"/>
      <c r="N28" s="106"/>
      <c r="O28" s="104"/>
      <c r="P28" s="104"/>
      <c r="Q28" s="104"/>
      <c r="R28" s="104"/>
      <c r="S28" s="104"/>
      <c r="T28" s="104"/>
    </row>
    <row r="29" spans="2:20" ht="14.5" x14ac:dyDescent="0.35">
      <c r="B29" s="46"/>
      <c r="C29" s="103"/>
      <c r="D29" s="106"/>
      <c r="E29" s="106"/>
      <c r="F29" s="106"/>
      <c r="G29" s="106"/>
      <c r="H29" s="106"/>
      <c r="I29" s="107"/>
      <c r="J29" s="106"/>
      <c r="K29" s="106"/>
      <c r="L29" s="106"/>
      <c r="M29" s="106"/>
      <c r="N29" s="106"/>
      <c r="O29" s="104"/>
      <c r="P29" s="104"/>
      <c r="Q29" s="104"/>
      <c r="R29" s="104"/>
      <c r="S29" s="104"/>
      <c r="T29" s="104"/>
    </row>
    <row r="30" spans="2:20" ht="14.5" x14ac:dyDescent="0.35">
      <c r="B30" s="46"/>
      <c r="C30" s="103"/>
      <c r="D30" s="106"/>
      <c r="E30" s="106"/>
      <c r="F30" s="106"/>
      <c r="G30" s="106"/>
      <c r="H30" s="106"/>
      <c r="I30" s="106"/>
      <c r="J30" s="107"/>
      <c r="K30" s="106"/>
      <c r="L30" s="106"/>
      <c r="M30" s="106"/>
      <c r="N30" s="106"/>
      <c r="O30" s="104"/>
      <c r="P30" s="104"/>
      <c r="Q30" s="104"/>
      <c r="R30" s="104"/>
      <c r="S30" s="104"/>
      <c r="T30" s="104"/>
    </row>
    <row r="31" spans="2:20" ht="14.5" x14ac:dyDescent="0.35">
      <c r="B31" s="46"/>
      <c r="C31" s="103"/>
      <c r="D31" s="106"/>
      <c r="E31" s="106"/>
      <c r="F31" s="106"/>
      <c r="G31" s="106"/>
      <c r="H31" s="106"/>
      <c r="I31" s="106"/>
      <c r="J31" s="106"/>
      <c r="K31" s="107"/>
      <c r="L31" s="106"/>
      <c r="M31" s="106"/>
      <c r="N31" s="106"/>
      <c r="O31" s="104"/>
      <c r="P31" s="104"/>
      <c r="Q31" s="104"/>
      <c r="R31" s="104"/>
      <c r="S31" s="104"/>
      <c r="T31" s="104"/>
    </row>
    <row r="32" spans="2:20" ht="14.5" x14ac:dyDescent="0.35">
      <c r="B32" s="46"/>
      <c r="C32" s="103"/>
      <c r="D32" s="106"/>
      <c r="E32" s="106"/>
      <c r="F32" s="106"/>
      <c r="G32" s="106"/>
      <c r="H32" s="106"/>
      <c r="I32" s="106"/>
      <c r="J32" s="106"/>
      <c r="K32" s="106"/>
      <c r="L32" s="107"/>
      <c r="M32" s="106"/>
      <c r="N32" s="106"/>
      <c r="O32" s="104"/>
      <c r="P32" s="104"/>
      <c r="Q32" s="104"/>
      <c r="R32" s="104"/>
      <c r="S32" s="104"/>
      <c r="T32" s="104"/>
    </row>
    <row r="33" spans="2:20" ht="14.5" x14ac:dyDescent="0.35">
      <c r="B33" s="46"/>
      <c r="C33" s="103"/>
      <c r="D33" s="106"/>
      <c r="E33" s="106"/>
      <c r="F33" s="106"/>
      <c r="G33" s="106"/>
      <c r="H33" s="106"/>
      <c r="I33" s="106"/>
      <c r="J33" s="106"/>
      <c r="K33" s="106"/>
      <c r="L33" s="106"/>
      <c r="M33" s="107"/>
      <c r="N33" s="106"/>
      <c r="O33" s="104"/>
      <c r="P33" s="104"/>
      <c r="Q33" s="104"/>
      <c r="R33" s="104"/>
      <c r="S33" s="104"/>
      <c r="T33" s="104"/>
    </row>
    <row r="34" spans="2:20" ht="14.5" x14ac:dyDescent="0.35">
      <c r="B34" s="46"/>
      <c r="C34" s="103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04"/>
      <c r="P34" s="104"/>
      <c r="Q34" s="104"/>
      <c r="R34" s="104"/>
      <c r="S34" s="104"/>
      <c r="T34" s="104"/>
    </row>
    <row r="35" spans="2:20" ht="14.5" x14ac:dyDescent="0.35">
      <c r="B35" s="46"/>
      <c r="C35" s="103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04"/>
      <c r="P35" s="104"/>
      <c r="Q35" s="104"/>
      <c r="R35" s="104"/>
      <c r="S35" s="104"/>
      <c r="T35" s="104"/>
    </row>
  </sheetData>
  <scenarios current="0" sqref="B22:B23">
    <scenario name="Increased Budget" locked="1" count="1" user="Artemis Maddox" comment="Created by Artemis Maddox on 2/15/2022">
      <inputCells r="C6" val="1250" numFmtId="3"/>
    </scenario>
    <scenario name="Decreased Budget" locked="1" count="1" user="Artemis Maddox" comment="Created by Artemis Maddox on 2/15/2022">
      <inputCells r="C6" val="800" numFmtId="3"/>
    </scenario>
  </scenarios>
  <dataValidations count="1">
    <dataValidation type="whole" allowBlank="1" showInputMessage="1" showErrorMessage="1" errorTitle="Draft Error" error="Draft Number must be between 1 and 10" promptTitle="Draft Number" prompt="Can commission 1 to 10 drafts" sqref="C9 E9" xr:uid="{1F263462-6557-41B2-BFE6-9EAE34B47CBC}">
      <formula1>1</formula1>
      <formula2>10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87511-72A9-41CB-A0AF-2C0A05D880EE}">
  <sheetPr>
    <outlinePr summaryBelow="0"/>
  </sheetPr>
  <dimension ref="B1:F12"/>
  <sheetViews>
    <sheetView showGridLines="0" workbookViewId="0">
      <selection activeCell="F9" sqref="F9"/>
    </sheetView>
  </sheetViews>
  <sheetFormatPr defaultColWidth="8.81640625" defaultRowHeight="12.5" outlineLevelRow="1" outlineLevelCol="1" x14ac:dyDescent="0.25"/>
  <cols>
    <col min="2" max="2" width="25.453125" customWidth="1"/>
    <col min="3" max="3" width="6.1796875" bestFit="1" customWidth="1"/>
    <col min="4" max="6" width="14.453125" bestFit="1" customWidth="1" outlineLevel="1"/>
  </cols>
  <sheetData>
    <row r="1" spans="2:6" ht="13" thickBot="1" x14ac:dyDescent="0.3"/>
    <row r="2" spans="2:6" ht="14" x14ac:dyDescent="0.3">
      <c r="B2" s="11" t="s">
        <v>59</v>
      </c>
      <c r="C2" s="11"/>
      <c r="D2" s="16"/>
      <c r="E2" s="16"/>
      <c r="F2" s="16"/>
    </row>
    <row r="3" spans="2:6" ht="14" collapsed="1" x14ac:dyDescent="0.3">
      <c r="B3" s="10"/>
      <c r="C3" s="10"/>
      <c r="D3" s="17" t="s">
        <v>61</v>
      </c>
      <c r="E3" s="17" t="s">
        <v>56</v>
      </c>
      <c r="F3" s="17" t="s">
        <v>58</v>
      </c>
    </row>
    <row r="4" spans="2:6" ht="30" hidden="1" outlineLevel="1" x14ac:dyDescent="0.3">
      <c r="B4" s="13"/>
      <c r="C4" s="13"/>
      <c r="D4" s="7"/>
      <c r="E4" s="19" t="s">
        <v>57</v>
      </c>
      <c r="F4" s="19" t="s">
        <v>57</v>
      </c>
    </row>
    <row r="5" spans="2:6" ht="13" x14ac:dyDescent="0.3">
      <c r="B5" s="14" t="s">
        <v>60</v>
      </c>
      <c r="C5" s="14"/>
      <c r="D5" s="12"/>
      <c r="E5" s="20"/>
      <c r="F5" s="12"/>
    </row>
    <row r="6" spans="2:6" ht="13" outlineLevel="1" x14ac:dyDescent="0.3">
      <c r="B6" s="13" t="s">
        <v>68</v>
      </c>
      <c r="C6" s="13" t="s">
        <v>53</v>
      </c>
      <c r="D6" s="8">
        <v>1000</v>
      </c>
      <c r="E6" s="18">
        <v>1250</v>
      </c>
      <c r="F6" s="18">
        <v>800</v>
      </c>
    </row>
    <row r="7" spans="2:6" ht="13" x14ac:dyDescent="0.3">
      <c r="B7" s="14" t="s">
        <v>62</v>
      </c>
      <c r="C7" s="14"/>
      <c r="D7" s="12"/>
      <c r="E7" s="12"/>
      <c r="F7" s="12"/>
    </row>
    <row r="8" spans="2:6" ht="13" outlineLevel="1" x14ac:dyDescent="0.3">
      <c r="B8" s="13" t="s">
        <v>66</v>
      </c>
      <c r="C8" s="13" t="s">
        <v>54</v>
      </c>
      <c r="D8" s="8">
        <v>2610.1543119580801</v>
      </c>
      <c r="E8" s="8">
        <v>4228.4062719390204</v>
      </c>
      <c r="F8" s="8">
        <v>1315.55274397332</v>
      </c>
    </row>
    <row r="9" spans="2:6" ht="13.5" outlineLevel="1" thickBot="1" x14ac:dyDescent="0.35">
      <c r="B9" s="15" t="s">
        <v>67</v>
      </c>
      <c r="C9" s="15" t="s">
        <v>55</v>
      </c>
      <c r="D9" s="9">
        <v>2.74753085469272</v>
      </c>
      <c r="E9" s="9">
        <v>4.4509539704621304</v>
      </c>
      <c r="F9" s="9">
        <v>1.38479236207718</v>
      </c>
    </row>
    <row r="10" spans="2:6" x14ac:dyDescent="0.25">
      <c r="B10" t="s">
        <v>63</v>
      </c>
    </row>
    <row r="11" spans="2:6" x14ac:dyDescent="0.25">
      <c r="B11" t="s">
        <v>64</v>
      </c>
    </row>
    <row r="12" spans="2:6" x14ac:dyDescent="0.25">
      <c r="B12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07A3A-D136-47FC-8224-D59C608D8726}">
  <dimension ref="A1:H33"/>
  <sheetViews>
    <sheetView showGridLines="0" topLeftCell="A4" workbookViewId="0">
      <selection activeCell="A29" sqref="A29"/>
    </sheetView>
  </sheetViews>
  <sheetFormatPr defaultColWidth="8.81640625" defaultRowHeight="12.5" x14ac:dyDescent="0.25"/>
  <cols>
    <col min="1" max="1" width="20.7265625" customWidth="1"/>
    <col min="2" max="2" width="14.453125" customWidth="1"/>
    <col min="3" max="3" width="18.1796875" customWidth="1"/>
    <col min="4" max="5" width="19.1796875" customWidth="1"/>
    <col min="6" max="6" width="19.453125" customWidth="1"/>
  </cols>
  <sheetData>
    <row r="1" spans="1:6" ht="13" x14ac:dyDescent="0.3">
      <c r="A1" s="1" t="s">
        <v>83</v>
      </c>
      <c r="D1" s="26" t="s">
        <v>80</v>
      </c>
    </row>
    <row r="2" spans="1:6" ht="13" x14ac:dyDescent="0.3">
      <c r="A2" s="26" t="s">
        <v>81</v>
      </c>
      <c r="B2" s="27">
        <v>1000</v>
      </c>
      <c r="C2" s="27">
        <v>1050</v>
      </c>
      <c r="D2" s="27">
        <v>1100</v>
      </c>
      <c r="E2" s="27">
        <v>950</v>
      </c>
      <c r="F2" s="27">
        <v>900</v>
      </c>
    </row>
    <row r="3" spans="1:6" ht="13" x14ac:dyDescent="0.3">
      <c r="A3" s="1" t="s">
        <v>74</v>
      </c>
      <c r="B3" s="1" t="s">
        <v>75</v>
      </c>
      <c r="C3" s="1" t="s">
        <v>76</v>
      </c>
      <c r="D3" s="1" t="s">
        <v>77</v>
      </c>
      <c r="E3" s="1" t="s">
        <v>78</v>
      </c>
      <c r="F3" s="1" t="s">
        <v>79</v>
      </c>
    </row>
    <row r="4" spans="1:6" x14ac:dyDescent="0.25">
      <c r="A4">
        <v>1</v>
      </c>
      <c r="B4" s="22">
        <f>Results!D6</f>
        <v>950</v>
      </c>
      <c r="C4">
        <v>1000</v>
      </c>
      <c r="D4">
        <v>1050</v>
      </c>
      <c r="E4" s="22">
        <f>Results!D7</f>
        <v>900</v>
      </c>
      <c r="F4" s="22">
        <f>Results!D8</f>
        <v>850</v>
      </c>
    </row>
    <row r="5" spans="1:6" x14ac:dyDescent="0.25">
      <c r="A5">
        <v>2</v>
      </c>
      <c r="B5" s="22">
        <f>Results!E7</f>
        <v>1622.2508326994944</v>
      </c>
      <c r="C5" s="22">
        <f>Results!E6</f>
        <v>1712.3758789605774</v>
      </c>
      <c r="D5" s="22">
        <f>Data!C4*Data!A5^0.85</f>
        <v>1802.5009252216603</v>
      </c>
      <c r="E5" s="22">
        <f>Results!E8</f>
        <v>1532.1257864384113</v>
      </c>
      <c r="F5" s="22">
        <f>Results!E9</f>
        <v>1442.0007401773282</v>
      </c>
    </row>
    <row r="6" spans="1:6" x14ac:dyDescent="0.25">
      <c r="A6">
        <v>3</v>
      </c>
      <c r="B6" s="22">
        <f>Results!F8</f>
        <v>2162.5790538948931</v>
      </c>
      <c r="C6" s="22">
        <f>Results!F7</f>
        <v>2289.7895864769457</v>
      </c>
      <c r="D6" s="22">
        <f>Results!F6</f>
        <v>2417.0001190589983</v>
      </c>
      <c r="E6" s="22">
        <f>Results!F9</f>
        <v>2035.3685213128408</v>
      </c>
      <c r="F6" s="22">
        <f>Results!F10</f>
        <v>1908.1579887307882</v>
      </c>
    </row>
    <row r="7" spans="1:6" x14ac:dyDescent="0.25">
      <c r="A7">
        <v>4</v>
      </c>
      <c r="B7" s="22">
        <f>Results!G9</f>
        <v>2599.2076683399537</v>
      </c>
      <c r="C7" s="22">
        <f>Results!G8</f>
        <v>2761.6581476112005</v>
      </c>
      <c r="D7" s="22">
        <f>Results!G7</f>
        <v>2924.1086268824479</v>
      </c>
      <c r="E7" s="22">
        <f>Results!G10</f>
        <v>2436.7571890687063</v>
      </c>
      <c r="F7" s="22">
        <f>Results!G11</f>
        <v>2274.3067097974595</v>
      </c>
    </row>
    <row r="8" spans="1:6" x14ac:dyDescent="0.25">
      <c r="A8">
        <v>5</v>
      </c>
      <c r="B8" s="22">
        <f>Results!H10</f>
        <v>2945.6813633691158</v>
      </c>
      <c r="C8" s="22">
        <f>Results!H9</f>
        <v>3142.0601209270567</v>
      </c>
      <c r="D8" s="22">
        <f>Results!H8</f>
        <v>3338.438878484998</v>
      </c>
      <c r="E8" s="22">
        <f>Results!H11</f>
        <v>2749.3026058111745</v>
      </c>
      <c r="F8" s="22">
        <f>Results!H12</f>
        <v>2552.9238482532337</v>
      </c>
    </row>
    <row r="9" spans="1:6" x14ac:dyDescent="0.25">
      <c r="A9">
        <v>6</v>
      </c>
      <c r="B9" s="22">
        <f>Results!I11</f>
        <v>3210.159437479258</v>
      </c>
      <c r="C9" s="22">
        <f>Results!I10</f>
        <v>3439.4565401563477</v>
      </c>
      <c r="D9" s="22">
        <f>Results!I9</f>
        <v>3668.7536428334374</v>
      </c>
      <c r="E9" s="22">
        <f>Results!I12</f>
        <v>2980.8623348021679</v>
      </c>
      <c r="F9" s="22">
        <f>Results!I13</f>
        <v>2751.5652321250782</v>
      </c>
    </row>
    <row r="10" spans="1:6" x14ac:dyDescent="0.25">
      <c r="A10">
        <v>7</v>
      </c>
      <c r="B10" s="22">
        <f>Results!J12</f>
        <v>3398.1824345288542</v>
      </c>
      <c r="C10" s="22">
        <f>Results!J11</f>
        <v>3659.5810833387659</v>
      </c>
      <c r="D10" s="22">
        <f>Results!J10</f>
        <v>3920.9797321486781</v>
      </c>
      <c r="E10" s="22">
        <f>Results!J13</f>
        <v>3136.7837857189425</v>
      </c>
      <c r="F10" s="22">
        <f>Results!J14</f>
        <v>2875.3851369090303</v>
      </c>
    </row>
    <row r="11" spans="1:6" x14ac:dyDescent="0.25">
      <c r="A11">
        <v>8</v>
      </c>
      <c r="B11" s="22">
        <f>Results!K13</f>
        <v>3513.8056702694998</v>
      </c>
      <c r="C11" s="22">
        <f>Results!K12</f>
        <v>3806.6228094586249</v>
      </c>
      <c r="D11" s="22">
        <f>Results!K11</f>
        <v>4099.4399486477496</v>
      </c>
      <c r="E11" s="22">
        <f>Results!K14</f>
        <v>3220.9885310803752</v>
      </c>
      <c r="F11" s="22">
        <f>Results!K15</f>
        <v>2928.1713918912501</v>
      </c>
    </row>
    <row r="12" spans="1:6" x14ac:dyDescent="0.25">
      <c r="A12">
        <v>9</v>
      </c>
      <c r="B12" s="22">
        <f>Results!L14</f>
        <v>3560.1543119580792</v>
      </c>
      <c r="C12" s="22">
        <f>Results!L13</f>
        <v>3883.804703954268</v>
      </c>
      <c r="D12" s="22">
        <f>Results!L12</f>
        <v>4207.4550959504568</v>
      </c>
      <c r="E12" s="22">
        <f>Results!L15</f>
        <v>3236.50391996189</v>
      </c>
      <c r="F12" s="22">
        <f>450*Data!A12^0.85</f>
        <v>2912.8535279657012</v>
      </c>
    </row>
    <row r="13" spans="1:6" x14ac:dyDescent="0.25">
      <c r="A13">
        <v>10</v>
      </c>
      <c r="B13" s="22">
        <f>Results!M15</f>
        <v>3539.7289219206896</v>
      </c>
      <c r="C13" s="22">
        <f>Results!M14</f>
        <v>3893.7018141127587</v>
      </c>
      <c r="D13" s="22">
        <f>Results!M13</f>
        <v>4247.6747063048279</v>
      </c>
      <c r="E13" s="22">
        <f>450*Data!A13^0.85</f>
        <v>3185.7560297286209</v>
      </c>
      <c r="F13" s="22">
        <f>400*Data!A13^0.85</f>
        <v>2831.7831375365517</v>
      </c>
    </row>
    <row r="15" spans="1:6" ht="13" x14ac:dyDescent="0.3">
      <c r="A15" s="1" t="s">
        <v>82</v>
      </c>
    </row>
    <row r="16" spans="1:6" ht="13" x14ac:dyDescent="0.3">
      <c r="A16" s="26" t="s">
        <v>81</v>
      </c>
      <c r="B16" s="27">
        <v>1000</v>
      </c>
      <c r="C16" s="27">
        <v>1050</v>
      </c>
      <c r="D16" s="27">
        <v>1100</v>
      </c>
      <c r="E16" s="27">
        <v>950</v>
      </c>
      <c r="F16" s="27">
        <v>900</v>
      </c>
    </row>
    <row r="17" spans="1:8" ht="13" x14ac:dyDescent="0.3">
      <c r="A17" s="1" t="s">
        <v>74</v>
      </c>
      <c r="B17" s="1" t="s">
        <v>75</v>
      </c>
      <c r="C17" s="1" t="s">
        <v>76</v>
      </c>
      <c r="D17" s="1" t="s">
        <v>77</v>
      </c>
      <c r="E17" s="1" t="s">
        <v>78</v>
      </c>
      <c r="F17" s="1" t="s">
        <v>79</v>
      </c>
    </row>
    <row r="18" spans="1:8" x14ac:dyDescent="0.25">
      <c r="A18">
        <v>1</v>
      </c>
      <c r="B18" s="24">
        <f>B4/$B$2</f>
        <v>0.95</v>
      </c>
      <c r="C18" s="24">
        <f>C4/$C$2</f>
        <v>0.95238095238095233</v>
      </c>
      <c r="D18" s="24">
        <f>D4/$D$2</f>
        <v>0.95454545454545459</v>
      </c>
      <c r="E18" s="24">
        <f>E4/$E$2</f>
        <v>0.94736842105263153</v>
      </c>
      <c r="F18" s="24">
        <f>F4/$F$2</f>
        <v>0.94444444444444442</v>
      </c>
    </row>
    <row r="19" spans="1:8" x14ac:dyDescent="0.25">
      <c r="A19">
        <v>2</v>
      </c>
      <c r="B19" s="24">
        <f t="shared" ref="B19:B27" si="0">B5/$B$2</f>
        <v>1.6222508326994944</v>
      </c>
      <c r="C19" s="24">
        <f t="shared" ref="C19:C27" si="1">C5/$C$2</f>
        <v>1.6308341704386451</v>
      </c>
      <c r="D19" s="24">
        <f t="shared" ref="D19:D27" si="2">D5/$D$2</f>
        <v>1.6386372047469639</v>
      </c>
      <c r="E19" s="24">
        <f t="shared" ref="E19:E27" si="3">E5/$E$2</f>
        <v>1.6127639857246434</v>
      </c>
      <c r="F19" s="24">
        <f t="shared" ref="F19:F27" si="4">F5/$F$2</f>
        <v>1.6022230446414758</v>
      </c>
    </row>
    <row r="20" spans="1:8" x14ac:dyDescent="0.25">
      <c r="A20">
        <v>3</v>
      </c>
      <c r="B20" s="24">
        <f t="shared" si="0"/>
        <v>2.162579053894893</v>
      </c>
      <c r="C20" s="24">
        <f t="shared" si="1"/>
        <v>2.1807519871209005</v>
      </c>
      <c r="D20" s="24">
        <f t="shared" si="2"/>
        <v>2.1972728355081803</v>
      </c>
      <c r="E20" s="24">
        <f t="shared" si="3"/>
        <v>2.1424931803293061</v>
      </c>
      <c r="F20" s="24">
        <f t="shared" si="4"/>
        <v>2.1201755430342093</v>
      </c>
    </row>
    <row r="21" spans="1:8" x14ac:dyDescent="0.25">
      <c r="A21">
        <v>4</v>
      </c>
      <c r="B21" s="24">
        <f t="shared" si="0"/>
        <v>2.5992076683399539</v>
      </c>
      <c r="C21" s="24">
        <f t="shared" si="1"/>
        <v>2.6301506167725721</v>
      </c>
      <c r="D21" s="24">
        <f t="shared" si="2"/>
        <v>2.6582805698931344</v>
      </c>
      <c r="E21" s="24">
        <f t="shared" si="3"/>
        <v>2.5650075674407433</v>
      </c>
      <c r="F21" s="24">
        <f t="shared" si="4"/>
        <v>2.5270074553305104</v>
      </c>
    </row>
    <row r="22" spans="1:8" x14ac:dyDescent="0.25">
      <c r="A22">
        <v>5</v>
      </c>
      <c r="B22" s="24">
        <f t="shared" si="0"/>
        <v>2.9456813633691157</v>
      </c>
      <c r="C22" s="24">
        <f t="shared" si="1"/>
        <v>2.9924382104067209</v>
      </c>
      <c r="D22" s="24">
        <f t="shared" si="2"/>
        <v>3.0349444349863619</v>
      </c>
      <c r="E22" s="24">
        <f t="shared" si="3"/>
        <v>2.8940027429591311</v>
      </c>
      <c r="F22" s="24">
        <f t="shared" si="4"/>
        <v>2.8365820536147042</v>
      </c>
    </row>
    <row r="23" spans="1:8" x14ac:dyDescent="0.25">
      <c r="A23">
        <v>6</v>
      </c>
      <c r="B23" s="24">
        <f t="shared" si="0"/>
        <v>3.2101594374792581</v>
      </c>
      <c r="C23" s="24">
        <f t="shared" si="1"/>
        <v>3.275672895386998</v>
      </c>
      <c r="D23" s="24">
        <f t="shared" si="2"/>
        <v>3.3352305843940342</v>
      </c>
      <c r="E23" s="24">
        <f t="shared" si="3"/>
        <v>3.1377498261075449</v>
      </c>
      <c r="F23" s="24">
        <f t="shared" si="4"/>
        <v>3.0572947023611978</v>
      </c>
    </row>
    <row r="24" spans="1:8" x14ac:dyDescent="0.25">
      <c r="A24">
        <v>7</v>
      </c>
      <c r="B24" s="24">
        <f t="shared" si="0"/>
        <v>3.398182434528854</v>
      </c>
      <c r="C24" s="24">
        <f t="shared" si="1"/>
        <v>3.4853153174654912</v>
      </c>
      <c r="D24" s="24">
        <f t="shared" si="2"/>
        <v>3.5645270292260709</v>
      </c>
      <c r="E24" s="24">
        <f t="shared" si="3"/>
        <v>3.3018776691778342</v>
      </c>
      <c r="F24" s="24">
        <f t="shared" si="4"/>
        <v>3.1948723743433671</v>
      </c>
    </row>
    <row r="25" spans="1:8" x14ac:dyDescent="0.25">
      <c r="A25">
        <v>8</v>
      </c>
      <c r="B25" s="24">
        <f t="shared" si="0"/>
        <v>3.5138056702695</v>
      </c>
      <c r="C25" s="24">
        <f t="shared" si="1"/>
        <v>3.6253550566272619</v>
      </c>
      <c r="D25" s="24">
        <f t="shared" si="2"/>
        <v>3.7267635896797722</v>
      </c>
      <c r="E25" s="24">
        <f t="shared" si="3"/>
        <v>3.3905142432425004</v>
      </c>
      <c r="F25" s="24">
        <f t="shared" si="4"/>
        <v>3.2535237687680558</v>
      </c>
    </row>
    <row r="26" spans="1:8" x14ac:dyDescent="0.25">
      <c r="A26">
        <v>9</v>
      </c>
      <c r="B26" s="24">
        <f t="shared" si="0"/>
        <v>3.5601543119580792</v>
      </c>
      <c r="C26" s="24">
        <f t="shared" si="1"/>
        <v>3.6988616228135887</v>
      </c>
      <c r="D26" s="24">
        <f t="shared" si="2"/>
        <v>3.8249591781367789</v>
      </c>
      <c r="E26" s="24">
        <f t="shared" si="3"/>
        <v>3.4068462315388315</v>
      </c>
      <c r="F26" s="24">
        <f t="shared" si="4"/>
        <v>3.2365039199618901</v>
      </c>
    </row>
    <row r="27" spans="1:8" x14ac:dyDescent="0.25">
      <c r="A27">
        <v>10</v>
      </c>
      <c r="B27" s="24">
        <f t="shared" si="0"/>
        <v>3.5397289219206898</v>
      </c>
      <c r="C27" s="24">
        <f t="shared" si="1"/>
        <v>3.7082874420121512</v>
      </c>
      <c r="D27" s="24">
        <f t="shared" si="2"/>
        <v>3.8615224602771163</v>
      </c>
      <c r="E27" s="24">
        <f t="shared" si="3"/>
        <v>3.3534273997143376</v>
      </c>
      <c r="F27" s="24">
        <f t="shared" si="4"/>
        <v>3.1464257083739464</v>
      </c>
    </row>
    <row r="29" spans="1:8" ht="13" x14ac:dyDescent="0.3">
      <c r="A29" s="28" t="s">
        <v>85</v>
      </c>
      <c r="B29" s="24">
        <f>AVERAGE(B18:B27)-AVERAGE($B$18:$B$27)</f>
        <v>0</v>
      </c>
      <c r="C29" s="24">
        <f t="shared" ref="C29:F29" si="5">AVERAGE(C18:C27)-AVERAGE($B$18:$B$27)</f>
        <v>6.7829857696544149E-2</v>
      </c>
      <c r="D29" s="24">
        <f t="shared" si="5"/>
        <v>0.12949336469340311</v>
      </c>
      <c r="E29" s="24">
        <f t="shared" si="5"/>
        <v>-7.4969842717233171E-2</v>
      </c>
      <c r="F29" s="24">
        <f t="shared" si="5"/>
        <v>-0.15826966795860331</v>
      </c>
    </row>
    <row r="31" spans="1:8" ht="13" x14ac:dyDescent="0.3">
      <c r="A31" s="1" t="s">
        <v>101</v>
      </c>
      <c r="H31" s="23" t="s">
        <v>88</v>
      </c>
    </row>
    <row r="32" spans="1:8" ht="13" x14ac:dyDescent="0.3">
      <c r="A32" s="26" t="s">
        <v>102</v>
      </c>
      <c r="B32" s="24">
        <f>D29/C29</f>
        <v>1.9090909090909187</v>
      </c>
      <c r="C32" s="23" t="s">
        <v>86</v>
      </c>
    </row>
    <row r="33" spans="1:3" ht="13" x14ac:dyDescent="0.3">
      <c r="A33" s="26" t="s">
        <v>103</v>
      </c>
      <c r="B33">
        <f>F29/E29</f>
        <v>2.1111111111111103</v>
      </c>
      <c r="C33" s="23" t="s">
        <v>87</v>
      </c>
    </row>
  </sheetData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749F-7088-4474-8D6F-B021FBDE1C60}">
  <dimension ref="B2:E10"/>
  <sheetViews>
    <sheetView workbookViewId="0">
      <selection activeCell="C8" sqref="C8"/>
    </sheetView>
  </sheetViews>
  <sheetFormatPr defaultColWidth="8.81640625" defaultRowHeight="12.5" x14ac:dyDescent="0.25"/>
  <cols>
    <col min="1" max="1" width="2.453125" style="43" customWidth="1"/>
    <col min="2" max="2" width="8.81640625" style="43"/>
    <col min="3" max="3" width="13.453125" style="43" customWidth="1"/>
    <col min="4" max="5" width="18.453125" style="43" customWidth="1"/>
    <col min="6" max="16384" width="8.81640625" style="43"/>
  </cols>
  <sheetData>
    <row r="2" spans="2:5" ht="13" x14ac:dyDescent="0.3">
      <c r="B2" s="44" t="s">
        <v>72</v>
      </c>
    </row>
    <row r="3" spans="2:5" x14ac:dyDescent="0.25">
      <c r="B3" s="93" t="s">
        <v>84</v>
      </c>
    </row>
    <row r="4" spans="2:5" x14ac:dyDescent="0.25">
      <c r="B4" s="93" t="s">
        <v>89</v>
      </c>
    </row>
    <row r="5" spans="2:5" x14ac:dyDescent="0.25">
      <c r="B5" s="93"/>
    </row>
    <row r="6" spans="2:5" ht="13" x14ac:dyDescent="0.3">
      <c r="B6" s="44" t="s">
        <v>93</v>
      </c>
    </row>
    <row r="7" spans="2:5" ht="13" x14ac:dyDescent="0.3">
      <c r="B7" s="94" t="s">
        <v>90</v>
      </c>
      <c r="C7" s="94" t="s">
        <v>75</v>
      </c>
      <c r="D7" s="94" t="s">
        <v>91</v>
      </c>
      <c r="E7" s="94" t="s">
        <v>92</v>
      </c>
    </row>
    <row r="8" spans="2:5" ht="13" x14ac:dyDescent="0.3">
      <c r="B8" s="94">
        <v>1</v>
      </c>
      <c r="C8" s="95">
        <f>Data!B18</f>
        <v>0.95</v>
      </c>
      <c r="D8" s="95">
        <f>Data!C18</f>
        <v>0.95238095238095233</v>
      </c>
      <c r="E8" s="95">
        <f>Data!E18</f>
        <v>0.94736842105263153</v>
      </c>
    </row>
    <row r="9" spans="2:5" ht="13" x14ac:dyDescent="0.3">
      <c r="B9" s="94">
        <v>5</v>
      </c>
      <c r="C9" s="95">
        <f>Data!B22</f>
        <v>2.9456813633691157</v>
      </c>
      <c r="D9" s="95">
        <f>Data!C22</f>
        <v>2.9924382104067209</v>
      </c>
      <c r="E9" s="95">
        <f>Data!E22</f>
        <v>2.8940027429591311</v>
      </c>
    </row>
    <row r="10" spans="2:5" ht="13" x14ac:dyDescent="0.3">
      <c r="B10" s="94">
        <v>9</v>
      </c>
      <c r="C10" s="95">
        <f>Data!B26</f>
        <v>3.5601543119580792</v>
      </c>
      <c r="D10" s="95">
        <f>Data!C26</f>
        <v>3.6988616228135887</v>
      </c>
      <c r="E10" s="95">
        <f>Data!E26</f>
        <v>3.4068462315388315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96CF0-1491-47F0-9331-50D4425C8AA9}">
  <dimension ref="B2:G10"/>
  <sheetViews>
    <sheetView workbookViewId="0">
      <selection activeCell="C8" sqref="C8"/>
    </sheetView>
  </sheetViews>
  <sheetFormatPr defaultColWidth="8.81640625" defaultRowHeight="12.5" x14ac:dyDescent="0.25"/>
  <cols>
    <col min="1" max="1" width="5.1796875" style="43" customWidth="1"/>
    <col min="2" max="2" width="8.81640625" style="43"/>
    <col min="3" max="3" width="13.453125" style="43" customWidth="1"/>
    <col min="4" max="5" width="18.453125" style="43" customWidth="1"/>
    <col min="6" max="16384" width="8.81640625" style="43"/>
  </cols>
  <sheetData>
    <row r="2" spans="2:7" ht="13" x14ac:dyDescent="0.3">
      <c r="B2" s="44" t="s">
        <v>72</v>
      </c>
    </row>
    <row r="3" spans="2:7" x14ac:dyDescent="0.25">
      <c r="B3" s="93" t="s">
        <v>84</v>
      </c>
    </row>
    <row r="4" spans="2:7" x14ac:dyDescent="0.25">
      <c r="B4" s="93" t="s">
        <v>89</v>
      </c>
    </row>
    <row r="5" spans="2:7" x14ac:dyDescent="0.25">
      <c r="B5" s="93"/>
    </row>
    <row r="6" spans="2:7" ht="13" x14ac:dyDescent="0.3">
      <c r="B6" s="44" t="s">
        <v>93</v>
      </c>
    </row>
    <row r="7" spans="2:7" ht="13" x14ac:dyDescent="0.3">
      <c r="B7" s="94" t="s">
        <v>90</v>
      </c>
      <c r="C7" s="94" t="s">
        <v>75</v>
      </c>
      <c r="D7" s="94" t="s">
        <v>91</v>
      </c>
      <c r="E7" s="94" t="s">
        <v>92</v>
      </c>
      <c r="F7" s="94" t="s">
        <v>94</v>
      </c>
      <c r="G7" s="96" t="s">
        <v>100</v>
      </c>
    </row>
    <row r="8" spans="2:7" ht="13" x14ac:dyDescent="0.3">
      <c r="B8" s="94">
        <v>1</v>
      </c>
      <c r="C8" s="95">
        <f>'Payoff Matrix'!C8</f>
        <v>0.95</v>
      </c>
      <c r="D8" s="95">
        <f>'Payoff Matrix'!D8</f>
        <v>0.95238095238095233</v>
      </c>
      <c r="E8" s="95">
        <f>'Payoff Matrix'!E8</f>
        <v>0.94736842105263153</v>
      </c>
      <c r="F8" s="95">
        <f>MAX(C8:E8)</f>
        <v>0.95238095238095233</v>
      </c>
      <c r="G8" s="43" t="str">
        <f>IF(F8=MAX($F$8:$F$10)," &lt;--maximum","")</f>
        <v/>
      </c>
    </row>
    <row r="9" spans="2:7" ht="13" x14ac:dyDescent="0.3">
      <c r="B9" s="94">
        <v>5</v>
      </c>
      <c r="C9" s="95">
        <f>'Payoff Matrix'!C9</f>
        <v>2.9456813633691157</v>
      </c>
      <c r="D9" s="95">
        <f>'Payoff Matrix'!D9</f>
        <v>2.9924382104067209</v>
      </c>
      <c r="E9" s="95">
        <f>'Payoff Matrix'!E9</f>
        <v>2.8940027429591311</v>
      </c>
      <c r="F9" s="95">
        <f t="shared" ref="F9:F10" si="0">MAX(C9:E9)</f>
        <v>2.9924382104067209</v>
      </c>
      <c r="G9" s="43" t="str">
        <f t="shared" ref="G9" si="1">IF(F9=MAX($F$8:$F$10)," &lt;--maximum","")</f>
        <v/>
      </c>
    </row>
    <row r="10" spans="2:7" ht="13" x14ac:dyDescent="0.3">
      <c r="B10" s="94">
        <v>9</v>
      </c>
      <c r="C10" s="95">
        <f>'Payoff Matrix'!C10</f>
        <v>3.5601543119580792</v>
      </c>
      <c r="D10" s="95">
        <f>'Payoff Matrix'!D10</f>
        <v>3.6988616228135887</v>
      </c>
      <c r="E10" s="95">
        <f>'Payoff Matrix'!E10</f>
        <v>3.4068462315388315</v>
      </c>
      <c r="F10" s="95">
        <f t="shared" si="0"/>
        <v>3.6988616228135887</v>
      </c>
      <c r="G10" s="98" t="str">
        <f>IF(F10=MAX($F$8:$F$10)," &lt;--maximum","")</f>
        <v xml:space="preserve"> &lt;--maximum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072F4-9793-4C40-AAAD-12659939A1C2}">
  <dimension ref="B2:G10"/>
  <sheetViews>
    <sheetView workbookViewId="0">
      <selection activeCell="I10" sqref="I10"/>
    </sheetView>
  </sheetViews>
  <sheetFormatPr defaultColWidth="8.81640625" defaultRowHeight="12.5" x14ac:dyDescent="0.25"/>
  <cols>
    <col min="1" max="2" width="8.81640625" style="43"/>
    <col min="3" max="3" width="13.453125" style="43" customWidth="1"/>
    <col min="4" max="5" width="18.453125" style="43" customWidth="1"/>
    <col min="6" max="16384" width="8.81640625" style="43"/>
  </cols>
  <sheetData>
    <row r="2" spans="2:7" ht="13" x14ac:dyDescent="0.3">
      <c r="B2" s="44" t="s">
        <v>72</v>
      </c>
    </row>
    <row r="3" spans="2:7" x14ac:dyDescent="0.25">
      <c r="B3" s="93" t="s">
        <v>84</v>
      </c>
    </row>
    <row r="4" spans="2:7" x14ac:dyDescent="0.25">
      <c r="B4" s="93" t="s">
        <v>89</v>
      </c>
    </row>
    <row r="5" spans="2:7" x14ac:dyDescent="0.25">
      <c r="B5" s="93"/>
    </row>
    <row r="6" spans="2:7" ht="13" x14ac:dyDescent="0.3">
      <c r="B6" s="44" t="s">
        <v>93</v>
      </c>
    </row>
    <row r="7" spans="2:7" ht="13" x14ac:dyDescent="0.3">
      <c r="B7" s="94" t="s">
        <v>90</v>
      </c>
      <c r="C7" s="94" t="s">
        <v>75</v>
      </c>
      <c r="D7" s="94" t="s">
        <v>91</v>
      </c>
      <c r="E7" s="94" t="s">
        <v>92</v>
      </c>
      <c r="F7" s="94" t="s">
        <v>95</v>
      </c>
      <c r="G7" s="96" t="s">
        <v>100</v>
      </c>
    </row>
    <row r="8" spans="2:7" ht="13" x14ac:dyDescent="0.3">
      <c r="B8" s="94">
        <v>1</v>
      </c>
      <c r="C8" s="95">
        <f>'Payoff Matrix'!C8</f>
        <v>0.95</v>
      </c>
      <c r="D8" s="95">
        <f>'Payoff Matrix'!D8</f>
        <v>0.95238095238095233</v>
      </c>
      <c r="E8" s="95">
        <f>'Payoff Matrix'!E8</f>
        <v>0.94736842105263153</v>
      </c>
      <c r="F8" s="95">
        <f>MIN(C8:E8)</f>
        <v>0.94736842105263153</v>
      </c>
      <c r="G8" s="99" t="str">
        <f t="shared" ref="G8:G10" si="0">IF(F8=MAX($F$8:$F$10)," &lt;--maximum","")</f>
        <v/>
      </c>
    </row>
    <row r="9" spans="2:7" ht="13" x14ac:dyDescent="0.3">
      <c r="B9" s="94">
        <v>5</v>
      </c>
      <c r="C9" s="95">
        <f>'Payoff Matrix'!C9</f>
        <v>2.9456813633691157</v>
      </c>
      <c r="D9" s="95">
        <f>'Payoff Matrix'!D9</f>
        <v>2.9924382104067209</v>
      </c>
      <c r="E9" s="95">
        <f>'Payoff Matrix'!E9</f>
        <v>2.8940027429591311</v>
      </c>
      <c r="F9" s="95">
        <f t="shared" ref="F9:F10" si="1">MIN(C9:E9)</f>
        <v>2.8940027429591311</v>
      </c>
      <c r="G9" s="99" t="str">
        <f t="shared" si="0"/>
        <v/>
      </c>
    </row>
    <row r="10" spans="2:7" ht="13" x14ac:dyDescent="0.3">
      <c r="B10" s="94">
        <v>9</v>
      </c>
      <c r="C10" s="95">
        <f>'Payoff Matrix'!C10</f>
        <v>3.5601543119580792</v>
      </c>
      <c r="D10" s="95">
        <f>'Payoff Matrix'!D10</f>
        <v>3.6988616228135887</v>
      </c>
      <c r="E10" s="95">
        <f>'Payoff Matrix'!E10</f>
        <v>3.4068462315388315</v>
      </c>
      <c r="F10" s="95">
        <f t="shared" si="1"/>
        <v>3.4068462315388315</v>
      </c>
      <c r="G10" s="99" t="str">
        <f t="shared" si="0"/>
        <v xml:space="preserve"> &lt;--maximum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25320-0557-4D27-820A-F6F2708DEE85}">
  <dimension ref="B2:G10"/>
  <sheetViews>
    <sheetView workbookViewId="0">
      <selection activeCell="C8" sqref="C8"/>
    </sheetView>
  </sheetViews>
  <sheetFormatPr defaultRowHeight="12.5" x14ac:dyDescent="0.25"/>
  <cols>
    <col min="1" max="1" width="2.81640625" style="43" customWidth="1"/>
    <col min="2" max="2" width="8.7265625" style="43"/>
    <col min="3" max="3" width="13.453125" style="43" customWidth="1"/>
    <col min="4" max="4" width="15.7265625" style="43" customWidth="1"/>
    <col min="5" max="5" width="16.81640625" style="43" customWidth="1"/>
    <col min="6" max="6" width="8.453125" style="43" customWidth="1"/>
    <col min="7" max="16384" width="8.7265625" style="43"/>
  </cols>
  <sheetData>
    <row r="2" spans="2:7" ht="13" x14ac:dyDescent="0.3">
      <c r="B2" s="44" t="s">
        <v>72</v>
      </c>
    </row>
    <row r="3" spans="2:7" x14ac:dyDescent="0.25">
      <c r="B3" s="43" t="s">
        <v>84</v>
      </c>
    </row>
    <row r="4" spans="2:7" x14ac:dyDescent="0.25">
      <c r="B4" s="43" t="s">
        <v>89</v>
      </c>
    </row>
    <row r="6" spans="2:7" ht="13" x14ac:dyDescent="0.3">
      <c r="B6" s="44" t="s">
        <v>93</v>
      </c>
    </row>
    <row r="7" spans="2:7" ht="13" x14ac:dyDescent="0.3">
      <c r="B7" s="94" t="s">
        <v>90</v>
      </c>
      <c r="C7" s="94" t="s">
        <v>75</v>
      </c>
      <c r="D7" s="94" t="s">
        <v>91</v>
      </c>
      <c r="E7" s="94" t="s">
        <v>92</v>
      </c>
      <c r="F7" s="94" t="s">
        <v>94</v>
      </c>
      <c r="G7" s="96" t="s">
        <v>97</v>
      </c>
    </row>
    <row r="8" spans="2:7" ht="13" x14ac:dyDescent="0.3">
      <c r="B8" s="94">
        <v>1</v>
      </c>
      <c r="C8" s="95">
        <f>MAX('Payoff Matrix'!$C$8:$C$10)-'Payoff Matrix'!C8</f>
        <v>2.6101543119580795</v>
      </c>
      <c r="D8" s="95">
        <f>MAX('Payoff Matrix'!$D$8:$D$10)-'Payoff Matrix'!D8</f>
        <v>2.7464806704326366</v>
      </c>
      <c r="E8" s="95">
        <f>MAX('Payoff Matrix'!$E$8:$E$10)-'Payoff Matrix'!E8</f>
        <v>2.4594778104862001</v>
      </c>
      <c r="F8" s="95">
        <f>MAX(C8:E8)</f>
        <v>2.7464806704326366</v>
      </c>
      <c r="G8" s="43" t="str">
        <f>IF(F8=MIN($F$8:$F$10),"&lt;-- Smallest Max Regret","")</f>
        <v/>
      </c>
    </row>
    <row r="9" spans="2:7" ht="13" x14ac:dyDescent="0.3">
      <c r="B9" s="94">
        <v>5</v>
      </c>
      <c r="C9" s="95">
        <f>MAX('Payoff Matrix'!$C$8:$C$10)-'Payoff Matrix'!C9</f>
        <v>0.61447294858896351</v>
      </c>
      <c r="D9" s="95">
        <f>MAX('Payoff Matrix'!$D$8:$D$10)-'Payoff Matrix'!D9</f>
        <v>0.70642341240686779</v>
      </c>
      <c r="E9" s="95">
        <f>MAX('Payoff Matrix'!$E$8:$E$10)-'Payoff Matrix'!E9</f>
        <v>0.51284348857970041</v>
      </c>
      <c r="F9" s="95">
        <f>MAX(C9:E9)</f>
        <v>0.70642341240686779</v>
      </c>
      <c r="G9" s="43" t="str">
        <f>IF(F9=MIN($F$8:$F$10),"&lt;-- Smallest Max Regret","")</f>
        <v/>
      </c>
    </row>
    <row r="10" spans="2:7" ht="13" x14ac:dyDescent="0.3">
      <c r="B10" s="94">
        <v>9</v>
      </c>
      <c r="C10" s="95">
        <f>MAX('Payoff Matrix'!$C$8:$C$10)-'Payoff Matrix'!C10</f>
        <v>0</v>
      </c>
      <c r="D10" s="95">
        <f>MAX('Payoff Matrix'!$D$8:$D$10)-'Payoff Matrix'!D10</f>
        <v>0</v>
      </c>
      <c r="E10" s="95">
        <f>MAX('Payoff Matrix'!$E$8:$E$10)-'Payoff Matrix'!E10</f>
        <v>0</v>
      </c>
      <c r="F10" s="95">
        <f>MAX(C10:E10)</f>
        <v>0</v>
      </c>
      <c r="G10" s="97" t="str">
        <f>IF(F10=MIN($F$8:$F$10),"&lt;-- Smallest Max Regret","")</f>
        <v>&lt;-- Smallest Max Regret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CD75E-2380-EA46-B169-6DB19771F698}">
  <dimension ref="B2:G13"/>
  <sheetViews>
    <sheetView workbookViewId="0">
      <selection activeCell="K20" sqref="K20"/>
    </sheetView>
  </sheetViews>
  <sheetFormatPr defaultColWidth="8.81640625" defaultRowHeight="12.5" x14ac:dyDescent="0.25"/>
  <cols>
    <col min="1" max="1" width="4.7265625" style="43" customWidth="1"/>
    <col min="2" max="2" width="11.453125" style="43" customWidth="1"/>
    <col min="3" max="3" width="13.453125" style="43" customWidth="1"/>
    <col min="4" max="5" width="18.453125" style="43" customWidth="1"/>
    <col min="6" max="6" width="10.81640625" style="43" customWidth="1"/>
    <col min="7" max="16384" width="8.81640625" style="43"/>
  </cols>
  <sheetData>
    <row r="2" spans="2:7" ht="13" x14ac:dyDescent="0.3">
      <c r="B2" s="44" t="s">
        <v>72</v>
      </c>
    </row>
    <row r="3" spans="2:7" x14ac:dyDescent="0.25">
      <c r="B3" s="93" t="s">
        <v>84</v>
      </c>
    </row>
    <row r="4" spans="2:7" x14ac:dyDescent="0.25">
      <c r="B4" s="93" t="s">
        <v>89</v>
      </c>
    </row>
    <row r="5" spans="2:7" x14ac:dyDescent="0.25">
      <c r="B5" s="93"/>
    </row>
    <row r="6" spans="2:7" ht="13" x14ac:dyDescent="0.3">
      <c r="B6" s="44" t="s">
        <v>93</v>
      </c>
    </row>
    <row r="7" spans="2:7" ht="13" x14ac:dyDescent="0.3">
      <c r="B7" s="94" t="s">
        <v>90</v>
      </c>
      <c r="C7" s="94" t="s">
        <v>75</v>
      </c>
      <c r="D7" s="94" t="s">
        <v>91</v>
      </c>
      <c r="E7" s="94" t="s">
        <v>92</v>
      </c>
      <c r="F7" s="94" t="s">
        <v>96</v>
      </c>
      <c r="G7" s="96" t="s">
        <v>97</v>
      </c>
    </row>
    <row r="8" spans="2:7" ht="13" x14ac:dyDescent="0.3">
      <c r="B8" s="94">
        <v>1</v>
      </c>
      <c r="C8" s="95">
        <f>'Payoff Matrix'!C8</f>
        <v>0.95</v>
      </c>
      <c r="D8" s="95">
        <f>'Payoff Matrix'!D8</f>
        <v>0.95238095238095233</v>
      </c>
      <c r="E8" s="95">
        <f>'Payoff Matrix'!E8</f>
        <v>0.94736842105263153</v>
      </c>
      <c r="F8" s="95">
        <f>SUMPRODUCT($C$12:$E$12,C8:E8)</f>
        <v>0.94959273182957393</v>
      </c>
      <c r="G8" s="99" t="str">
        <f>IF(F8=MAX($F$8:$F$10),"&lt;--maximum","")</f>
        <v/>
      </c>
    </row>
    <row r="9" spans="2:7" ht="13" x14ac:dyDescent="0.3">
      <c r="B9" s="94">
        <v>5</v>
      </c>
      <c r="C9" s="95">
        <f>'Payoff Matrix'!C9</f>
        <v>2.9456813633691157</v>
      </c>
      <c r="D9" s="95">
        <f>'Payoff Matrix'!D9</f>
        <v>2.9924382104067209</v>
      </c>
      <c r="E9" s="95">
        <f>'Payoff Matrix'!E9</f>
        <v>2.8940027429591311</v>
      </c>
      <c r="F9" s="95">
        <f>SUMPRODUCT($C$12:$E$12,C9:E9)</f>
        <v>2.9376834816389996</v>
      </c>
      <c r="G9" s="98" t="str">
        <f>IF(F9=MAX($F$8:$F$10),"&lt;--maximum","")</f>
        <v/>
      </c>
    </row>
    <row r="10" spans="2:7" ht="13" x14ac:dyDescent="0.3">
      <c r="B10" s="94">
        <v>9</v>
      </c>
      <c r="C10" s="95">
        <f>'Payoff Matrix'!C10</f>
        <v>3.5601543119580792</v>
      </c>
      <c r="D10" s="95">
        <f>'Payoff Matrix'!D10</f>
        <v>3.6988616228135887</v>
      </c>
      <c r="E10" s="95">
        <f>'Payoff Matrix'!E10</f>
        <v>3.4068462315388315</v>
      </c>
      <c r="F10" s="95">
        <f>SUMPRODUCT($C$12:$E$12,C10:E10)</f>
        <v>3.5364280614170052</v>
      </c>
      <c r="G10" s="98" t="str">
        <f>IF(F10=MAX($F$8:$F$10),"&lt;--maximum","")</f>
        <v>&lt;--maximum</v>
      </c>
    </row>
    <row r="12" spans="2:7" x14ac:dyDescent="0.25">
      <c r="B12" s="93" t="s">
        <v>156</v>
      </c>
      <c r="C12" s="43">
        <v>0.75</v>
      </c>
      <c r="D12" s="43">
        <v>0.05</v>
      </c>
      <c r="E12" s="43">
        <v>0.2</v>
      </c>
    </row>
    <row r="13" spans="2:7" x14ac:dyDescent="0.25">
      <c r="B13" s="43" t="s">
        <v>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B481A-B4B4-9A4B-B8B9-DD2452DF7187}">
  <dimension ref="B2:G13"/>
  <sheetViews>
    <sheetView workbookViewId="0">
      <selection activeCell="I16" sqref="I16"/>
    </sheetView>
  </sheetViews>
  <sheetFormatPr defaultColWidth="9.1796875" defaultRowHeight="12.5" x14ac:dyDescent="0.25"/>
  <cols>
    <col min="1" max="1" width="3.1796875" style="43" customWidth="1"/>
    <col min="2" max="2" width="10.453125" style="43" customWidth="1"/>
    <col min="3" max="3" width="14.7265625" style="43" customWidth="1"/>
    <col min="4" max="4" width="14" style="43" customWidth="1"/>
    <col min="5" max="5" width="13.36328125" style="43" customWidth="1"/>
    <col min="6" max="16384" width="9.1796875" style="43"/>
  </cols>
  <sheetData>
    <row r="2" spans="2:7" ht="13" x14ac:dyDescent="0.3">
      <c r="B2" s="44" t="s">
        <v>72</v>
      </c>
    </row>
    <row r="3" spans="2:7" x14ac:dyDescent="0.25">
      <c r="B3" s="43" t="s">
        <v>84</v>
      </c>
    </row>
    <row r="4" spans="2:7" x14ac:dyDescent="0.25">
      <c r="B4" s="43" t="s">
        <v>89</v>
      </c>
    </row>
    <row r="6" spans="2:7" ht="13" x14ac:dyDescent="0.3">
      <c r="B6" s="44" t="s">
        <v>93</v>
      </c>
    </row>
    <row r="7" spans="2:7" ht="13" x14ac:dyDescent="0.3">
      <c r="B7" s="94" t="s">
        <v>90</v>
      </c>
      <c r="C7" s="94" t="s">
        <v>75</v>
      </c>
      <c r="D7" s="94" t="s">
        <v>91</v>
      </c>
      <c r="E7" s="94" t="s">
        <v>92</v>
      </c>
      <c r="F7" s="94" t="s">
        <v>99</v>
      </c>
      <c r="G7" s="96" t="s">
        <v>97</v>
      </c>
    </row>
    <row r="8" spans="2:7" ht="13" x14ac:dyDescent="0.3">
      <c r="B8" s="94">
        <v>1</v>
      </c>
      <c r="C8" s="95">
        <f>'Max Regret'!C8</f>
        <v>2.6101543119580795</v>
      </c>
      <c r="D8" s="95">
        <f>'Max Regret'!D8</f>
        <v>2.7464806704326366</v>
      </c>
      <c r="E8" s="95">
        <f>'Max Regret'!E8</f>
        <v>2.4594778104862001</v>
      </c>
      <c r="F8" s="95">
        <f>SUMPRODUCT($C$12:$E$12,C8:E8)</f>
        <v>2.5868353295874318</v>
      </c>
      <c r="G8" s="98" t="str">
        <f>IF(F8=MIN($F$8:$F$10),"&lt;--minimum","")</f>
        <v/>
      </c>
    </row>
    <row r="9" spans="2:7" ht="13" x14ac:dyDescent="0.3">
      <c r="B9" s="94">
        <v>5</v>
      </c>
      <c r="C9" s="95">
        <f>'Max Regret'!C9</f>
        <v>0.61447294858896351</v>
      </c>
      <c r="D9" s="95">
        <f>'Max Regret'!D9</f>
        <v>0.70642341240686779</v>
      </c>
      <c r="E9" s="95">
        <f>'Max Regret'!E9</f>
        <v>0.51284348857970041</v>
      </c>
      <c r="F9" s="95">
        <f>SUMPRODUCT($C$12:$E$12,C9:E9)</f>
        <v>0.5987445797780061</v>
      </c>
      <c r="G9" s="43" t="str">
        <f>IF(F9=MIN($F$8:$F$10),"&lt;--minimum","")</f>
        <v/>
      </c>
    </row>
    <row r="10" spans="2:7" ht="13" x14ac:dyDescent="0.3">
      <c r="B10" s="94">
        <v>9</v>
      </c>
      <c r="C10" s="95">
        <f>'Max Regret'!C10</f>
        <v>0</v>
      </c>
      <c r="D10" s="95">
        <f>'Max Regret'!D10</f>
        <v>0</v>
      </c>
      <c r="E10" s="95">
        <f>'Max Regret'!E10</f>
        <v>0</v>
      </c>
      <c r="F10" s="95">
        <f>SUMPRODUCT($C$12:$E$12,C10:E10)</f>
        <v>0</v>
      </c>
      <c r="G10" s="161" t="str">
        <f>IF(F10=MIN($F$8:$F$10),"&lt;--minimum","")</f>
        <v>&lt;--minimum</v>
      </c>
    </row>
    <row r="12" spans="2:7" x14ac:dyDescent="0.25">
      <c r="B12" t="s">
        <v>155</v>
      </c>
      <c r="C12" s="43">
        <v>0.75</v>
      </c>
      <c r="D12" s="43">
        <v>0.05</v>
      </c>
      <c r="E12" s="43">
        <v>0.2</v>
      </c>
    </row>
    <row r="13" spans="2:7" x14ac:dyDescent="0.25">
      <c r="B13" s="43" t="s">
        <v>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441B-0E26-4B24-A13E-1BE81FECA556}">
  <dimension ref="A1:F17"/>
  <sheetViews>
    <sheetView workbookViewId="0">
      <selection activeCell="F9" sqref="F9"/>
    </sheetView>
  </sheetViews>
  <sheetFormatPr defaultRowHeight="12.5" x14ac:dyDescent="0.25"/>
  <cols>
    <col min="2" max="2" width="12.7265625" customWidth="1"/>
    <col min="5" max="5" width="10.453125" customWidth="1"/>
  </cols>
  <sheetData>
    <row r="1" spans="1:6" ht="13" x14ac:dyDescent="0.3">
      <c r="A1" s="1" t="s">
        <v>73</v>
      </c>
    </row>
    <row r="2" spans="1:6" ht="13" x14ac:dyDescent="0.3">
      <c r="A2" s="1"/>
    </row>
    <row r="3" spans="1:6" ht="13" x14ac:dyDescent="0.3">
      <c r="A3" s="26" t="s">
        <v>113</v>
      </c>
    </row>
    <row r="4" spans="1:6" x14ac:dyDescent="0.25">
      <c r="A4" s="23" t="s">
        <v>111</v>
      </c>
    </row>
    <row r="5" spans="1:6" x14ac:dyDescent="0.25">
      <c r="A5" s="23" t="s">
        <v>112</v>
      </c>
    </row>
    <row r="8" spans="1:6" ht="13" x14ac:dyDescent="0.3">
      <c r="A8" s="26" t="s">
        <v>110</v>
      </c>
      <c r="B8" s="26" t="s">
        <v>74</v>
      </c>
      <c r="C8" s="26" t="s">
        <v>96</v>
      </c>
      <c r="D8" s="26" t="s">
        <v>104</v>
      </c>
      <c r="E8" s="26" t="s">
        <v>109</v>
      </c>
      <c r="F8" s="26" t="s">
        <v>106</v>
      </c>
    </row>
    <row r="9" spans="1:6" x14ac:dyDescent="0.25">
      <c r="B9">
        <v>1</v>
      </c>
      <c r="C9">
        <f>'Expected Value'!$F$8</f>
        <v>0.94959273182957393</v>
      </c>
      <c r="D9" s="23" t="s">
        <v>105</v>
      </c>
      <c r="E9" s="23">
        <v>0.05</v>
      </c>
      <c r="F9" s="25">
        <f>'Payoff Matrix'!D8</f>
        <v>0.95238095238095233</v>
      </c>
    </row>
    <row r="10" spans="1:6" x14ac:dyDescent="0.25">
      <c r="A10" s="23"/>
      <c r="B10">
        <v>1</v>
      </c>
      <c r="C10">
        <f>'Expected Value'!$F$8</f>
        <v>0.94959273182957393</v>
      </c>
      <c r="D10" s="23" t="s">
        <v>108</v>
      </c>
      <c r="E10" s="23">
        <v>0.75</v>
      </c>
      <c r="F10" s="25">
        <f>'Payoff Matrix'!C8</f>
        <v>0.95</v>
      </c>
    </row>
    <row r="11" spans="1:6" x14ac:dyDescent="0.25">
      <c r="B11">
        <v>1</v>
      </c>
      <c r="C11">
        <f>'Expected Value'!$F$8</f>
        <v>0.94959273182957393</v>
      </c>
      <c r="D11" s="23" t="s">
        <v>107</v>
      </c>
      <c r="E11" s="23">
        <v>0.2</v>
      </c>
      <c r="F11" s="25">
        <f>'Payoff Matrix'!E8</f>
        <v>0.94736842105263153</v>
      </c>
    </row>
    <row r="12" spans="1:6" x14ac:dyDescent="0.25">
      <c r="A12">
        <f>'Expected Value'!F10</f>
        <v>3.5364280614170052</v>
      </c>
      <c r="B12" s="29">
        <v>5</v>
      </c>
      <c r="C12" s="29">
        <f>'Expected Value'!$F$9</f>
        <v>2.9376834816389996</v>
      </c>
      <c r="D12" s="30" t="s">
        <v>105</v>
      </c>
      <c r="E12" s="30">
        <v>0.05</v>
      </c>
      <c r="F12" s="31">
        <f>'Payoff Matrix'!D9</f>
        <v>2.9924382104067209</v>
      </c>
    </row>
    <row r="13" spans="1:6" x14ac:dyDescent="0.25">
      <c r="B13" s="29">
        <v>5</v>
      </c>
      <c r="C13" s="29">
        <f>'Expected Value'!$F$9</f>
        <v>2.9376834816389996</v>
      </c>
      <c r="D13" s="30" t="s">
        <v>108</v>
      </c>
      <c r="E13" s="30">
        <v>0.75</v>
      </c>
      <c r="F13" s="31">
        <f>'Payoff Matrix'!C9</f>
        <v>2.9456813633691157</v>
      </c>
    </row>
    <row r="14" spans="1:6" x14ac:dyDescent="0.25">
      <c r="B14" s="29">
        <v>5</v>
      </c>
      <c r="C14" s="29">
        <f>'Expected Value'!$F$9</f>
        <v>2.9376834816389996</v>
      </c>
      <c r="D14" s="30" t="s">
        <v>107</v>
      </c>
      <c r="E14" s="30">
        <v>0.2</v>
      </c>
      <c r="F14" s="31">
        <f>'Payoff Matrix'!E9</f>
        <v>2.8940027429591311</v>
      </c>
    </row>
    <row r="15" spans="1:6" x14ac:dyDescent="0.25">
      <c r="B15">
        <v>9</v>
      </c>
      <c r="C15">
        <f>'Expected Value'!$F$10</f>
        <v>3.5364280614170052</v>
      </c>
      <c r="D15" s="23" t="s">
        <v>105</v>
      </c>
      <c r="E15" s="23">
        <v>0.05</v>
      </c>
      <c r="F15" s="25">
        <f>'Payoff Matrix'!D10</f>
        <v>3.6988616228135887</v>
      </c>
    </row>
    <row r="16" spans="1:6" x14ac:dyDescent="0.25">
      <c r="B16">
        <v>9</v>
      </c>
      <c r="C16">
        <f>'Expected Value'!$F$10</f>
        <v>3.5364280614170052</v>
      </c>
      <c r="D16" s="23" t="s">
        <v>108</v>
      </c>
      <c r="E16" s="23">
        <v>0.75</v>
      </c>
      <c r="F16" s="25">
        <f>'Payoff Matrix'!C10</f>
        <v>3.5601543119580792</v>
      </c>
    </row>
    <row r="17" spans="2:6" x14ac:dyDescent="0.25">
      <c r="B17">
        <v>9</v>
      </c>
      <c r="C17">
        <f>'Expected Value'!$F$10</f>
        <v>3.5364280614170052</v>
      </c>
      <c r="D17" s="23" t="s">
        <v>107</v>
      </c>
      <c r="E17" s="23">
        <v>0.2</v>
      </c>
      <c r="F17" s="25">
        <f>'Payoff Matrix'!E10</f>
        <v>3.4068462315388315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4AFCC-8552-4D8D-9D5F-2EDD37D1F599}">
  <dimension ref="A1:J20"/>
  <sheetViews>
    <sheetView workbookViewId="0">
      <selection activeCell="B3" sqref="B3"/>
    </sheetView>
  </sheetViews>
  <sheetFormatPr defaultRowHeight="12.5" x14ac:dyDescent="0.25"/>
  <cols>
    <col min="1" max="1" width="7.54296875" bestFit="1" customWidth="1"/>
    <col min="2" max="2" width="30.90625" customWidth="1"/>
    <col min="3" max="3" width="13.1796875" bestFit="1" customWidth="1"/>
    <col min="4" max="4" width="5.54296875" bestFit="1" customWidth="1"/>
    <col min="5" max="5" width="4.54296875" bestFit="1" customWidth="1"/>
    <col min="6" max="6" width="5.08984375" customWidth="1"/>
    <col min="7" max="8" width="8.08984375" bestFit="1" customWidth="1"/>
    <col min="9" max="9" width="6" bestFit="1" customWidth="1"/>
    <col min="10" max="10" width="4" customWidth="1"/>
  </cols>
  <sheetData>
    <row r="1" spans="1:9" ht="13" x14ac:dyDescent="0.3">
      <c r="A1" s="1" t="s">
        <v>153</v>
      </c>
    </row>
    <row r="2" spans="1:9" x14ac:dyDescent="0.25">
      <c r="A2" s="23" t="s">
        <v>154</v>
      </c>
    </row>
    <row r="4" spans="1:9" ht="13.5" thickBot="1" x14ac:dyDescent="0.35">
      <c r="A4" s="33" t="s">
        <v>122</v>
      </c>
      <c r="B4" s="33" t="s">
        <v>123</v>
      </c>
      <c r="C4" s="33" t="s">
        <v>124</v>
      </c>
      <c r="D4" s="33" t="s">
        <v>125</v>
      </c>
      <c r="E4" s="33" t="s">
        <v>126</v>
      </c>
      <c r="F4" s="33" t="s">
        <v>127</v>
      </c>
      <c r="G4" s="33" t="s">
        <v>128</v>
      </c>
      <c r="H4" s="33" t="s">
        <v>129</v>
      </c>
      <c r="I4" s="33" t="s">
        <v>130</v>
      </c>
    </row>
    <row r="5" spans="1:9" ht="13" x14ac:dyDescent="0.3">
      <c r="A5" s="34" t="s">
        <v>131</v>
      </c>
      <c r="B5" s="35" t="s">
        <v>141</v>
      </c>
      <c r="C5" s="34"/>
      <c r="D5" s="36">
        <v>1</v>
      </c>
      <c r="E5" s="37">
        <f t="array" aca="1" ref="E5" ca="1">MAX(IF(ISERR(FIND($A$5:$A$14,C5)),0,$F$5:$F$14))</f>
        <v>0</v>
      </c>
      <c r="F5" s="38">
        <f t="shared" ref="F5:F14" ca="1" si="0">E5+D5</f>
        <v>1</v>
      </c>
      <c r="G5" s="37">
        <f ca="1">H5-D5</f>
        <v>0</v>
      </c>
      <c r="H5" s="38" cm="1">
        <f t="array" aca="1" ref="H5" ca="1">MIN(IF(ISERR(FIND(A5,$C$5:$C$14)),MAX($F$5:$F$14),$G$5:$G$14))</f>
        <v>1</v>
      </c>
      <c r="I5" s="37">
        <f ca="1">H5-F5</f>
        <v>0</v>
      </c>
    </row>
    <row r="6" spans="1:9" ht="13" x14ac:dyDescent="0.3">
      <c r="A6" s="34" t="s">
        <v>132</v>
      </c>
      <c r="B6" s="35" t="s">
        <v>142</v>
      </c>
      <c r="C6" s="34" t="s">
        <v>131</v>
      </c>
      <c r="D6" s="36">
        <v>3</v>
      </c>
      <c r="E6" s="37">
        <f t="array" aca="1" ref="E6" ca="1">MAX(IF(ISERR(FIND($A$5:$A$14,C6)),0,$F$5:$F$14))</f>
        <v>1</v>
      </c>
      <c r="F6" s="38">
        <f t="shared" ca="1" si="0"/>
        <v>4</v>
      </c>
      <c r="G6" s="37">
        <f t="shared" ref="G6:G14" ca="1" si="1">H6-D6</f>
        <v>1</v>
      </c>
      <c r="H6" s="38" cm="1">
        <f t="array" aca="1" ref="H6" ca="1">MIN(IF(ISERR(FIND(A6,$C$5:$C$14)),MAX($F$5:$F$14),$G$5:$G$14))</f>
        <v>4</v>
      </c>
      <c r="I6" s="37">
        <f t="shared" ref="I6:I14" ca="1" si="2">H6-F6</f>
        <v>0</v>
      </c>
    </row>
    <row r="7" spans="1:9" ht="13" x14ac:dyDescent="0.3">
      <c r="A7" s="34" t="s">
        <v>133</v>
      </c>
      <c r="B7" s="35" t="s">
        <v>143</v>
      </c>
      <c r="C7" s="34" t="s">
        <v>132</v>
      </c>
      <c r="D7" s="36">
        <v>2</v>
      </c>
      <c r="E7" s="37">
        <f t="array" aca="1" ref="E7" ca="1">MAX(IF(ISERR(FIND($A$5:$A$14,C7)),0,$F$5:$F$14))</f>
        <v>4</v>
      </c>
      <c r="F7" s="38">
        <f t="shared" ca="1" si="0"/>
        <v>6</v>
      </c>
      <c r="G7" s="37">
        <f t="shared" ca="1" si="1"/>
        <v>8</v>
      </c>
      <c r="H7" s="38" cm="1">
        <f t="array" aca="1" ref="H7" ca="1">MIN(IF(ISERR(FIND(A7,$C$5:$C$14)),MAX($F$5:$F$14),$G$5:$G$14))</f>
        <v>10</v>
      </c>
      <c r="I7" s="37">
        <f t="shared" ca="1" si="2"/>
        <v>4</v>
      </c>
    </row>
    <row r="8" spans="1:9" ht="13" x14ac:dyDescent="0.3">
      <c r="A8" s="34" t="s">
        <v>134</v>
      </c>
      <c r="B8" s="35" t="s">
        <v>144</v>
      </c>
      <c r="C8" s="34" t="s">
        <v>132</v>
      </c>
      <c r="D8" s="36">
        <v>4</v>
      </c>
      <c r="E8" s="37">
        <f t="array" aca="1" ref="E8" ca="1">MAX(IF(ISERR(FIND($A$5:$A$14,C8)),0,$F$5:$F$14))</f>
        <v>4</v>
      </c>
      <c r="F8" s="38">
        <f t="shared" ca="1" si="0"/>
        <v>8</v>
      </c>
      <c r="G8" s="37">
        <f t="shared" ca="1" si="1"/>
        <v>6</v>
      </c>
      <c r="H8" s="38" cm="1">
        <f t="array" aca="1" ref="H8" ca="1">MIN(IF(ISERR(FIND(A8,$C$5:$C$14)),MAX($F$5:$F$14),$G$5:$G$14))</f>
        <v>10</v>
      </c>
      <c r="I8" s="37">
        <f t="shared" ca="1" si="2"/>
        <v>2</v>
      </c>
    </row>
    <row r="9" spans="1:9" ht="13" x14ac:dyDescent="0.3">
      <c r="A9" s="34" t="s">
        <v>135</v>
      </c>
      <c r="B9" s="35" t="s">
        <v>145</v>
      </c>
      <c r="C9" s="34" t="s">
        <v>132</v>
      </c>
      <c r="D9" s="36">
        <v>4</v>
      </c>
      <c r="E9" s="37">
        <f t="array" aca="1" ref="E9" ca="1">MAX(IF(ISERR(FIND($A$5:$A$14,C9)),0,$F$5:$F$14))</f>
        <v>4</v>
      </c>
      <c r="F9" s="38">
        <f t="shared" ca="1" si="0"/>
        <v>8</v>
      </c>
      <c r="G9" s="37">
        <f t="shared" ca="1" si="1"/>
        <v>6</v>
      </c>
      <c r="H9" s="38" cm="1">
        <f t="array" aca="1" ref="H9" ca="1">MIN(IF(ISERR(FIND(A9,$C$5:$C$14)),MAX($F$5:$F$14),$G$5:$G$14))</f>
        <v>10</v>
      </c>
      <c r="I9" s="37">
        <f t="shared" ca="1" si="2"/>
        <v>2</v>
      </c>
    </row>
    <row r="10" spans="1:9" ht="13" x14ac:dyDescent="0.3">
      <c r="A10" s="34" t="s">
        <v>136</v>
      </c>
      <c r="B10" s="35" t="s">
        <v>146</v>
      </c>
      <c r="C10" s="34" t="s">
        <v>132</v>
      </c>
      <c r="D10" s="36">
        <v>4</v>
      </c>
      <c r="E10" s="37">
        <f t="array" aca="1" ref="E10" ca="1">MAX(IF(ISERR(FIND($A$5:$A$14,C10)),0,$F$5:$F$14))</f>
        <v>4</v>
      </c>
      <c r="F10" s="38">
        <f t="shared" ca="1" si="0"/>
        <v>8</v>
      </c>
      <c r="G10" s="37">
        <f t="shared" ca="1" si="1"/>
        <v>6</v>
      </c>
      <c r="H10" s="38" cm="1">
        <f t="array" aca="1" ref="H10" ca="1">MIN(IF(ISERR(FIND(A10,$C$5:$C$14)),MAX($F$5:$F$14),$G$5:$G$14))</f>
        <v>10</v>
      </c>
      <c r="I10" s="37">
        <f t="shared" ca="1" si="2"/>
        <v>2</v>
      </c>
    </row>
    <row r="11" spans="1:9" ht="13" x14ac:dyDescent="0.3">
      <c r="A11" s="34" t="s">
        <v>137</v>
      </c>
      <c r="B11" s="35" t="s">
        <v>147</v>
      </c>
      <c r="C11" s="34" t="s">
        <v>132</v>
      </c>
      <c r="D11" s="36">
        <v>6</v>
      </c>
      <c r="E11" s="37">
        <f t="array" aca="1" ref="E11" ca="1">MAX(IF(ISERR(FIND($A$5:$A$14,C11)),0,$F$5:$F$14))</f>
        <v>4</v>
      </c>
      <c r="F11" s="38">
        <f t="shared" ca="1" si="0"/>
        <v>10</v>
      </c>
      <c r="G11" s="37">
        <f t="shared" ca="1" si="1"/>
        <v>4</v>
      </c>
      <c r="H11" s="38" cm="1">
        <f t="array" aca="1" ref="H11" ca="1">MIN(IF(ISERR(FIND(A11,$C$5:$C$14)),MAX($F$5:$F$14),$G$5:$G$14))</f>
        <v>10</v>
      </c>
      <c r="I11" s="37">
        <f t="shared" ca="1" si="2"/>
        <v>0</v>
      </c>
    </row>
    <row r="12" spans="1:9" ht="13" x14ac:dyDescent="0.3">
      <c r="A12" s="34" t="s">
        <v>138</v>
      </c>
      <c r="B12" s="35" t="s">
        <v>148</v>
      </c>
      <c r="C12" s="34" t="s">
        <v>150</v>
      </c>
      <c r="D12" s="36">
        <v>2</v>
      </c>
      <c r="E12" s="37">
        <f t="array" aca="1" ref="E12" ca="1">MAX(IF(ISERR(FIND($A$5:$A$14,C12)),0,$F$5:$F$14))</f>
        <v>10</v>
      </c>
      <c r="F12" s="38">
        <f t="shared" ca="1" si="0"/>
        <v>12</v>
      </c>
      <c r="G12" s="37">
        <f t="shared" ca="1" si="1"/>
        <v>10</v>
      </c>
      <c r="H12" s="38" cm="1">
        <f t="array" aca="1" ref="H12" ca="1">MIN(IF(ISERR(FIND(A12,$C$5:$C$14)),MAX($F$5:$F$14),$G$5:$G$14))</f>
        <v>12</v>
      </c>
      <c r="I12" s="37">
        <f t="shared" ca="1" si="2"/>
        <v>0</v>
      </c>
    </row>
    <row r="13" spans="1:9" ht="13" x14ac:dyDescent="0.3">
      <c r="A13" s="34" t="s">
        <v>139</v>
      </c>
      <c r="B13" s="35" t="s">
        <v>149</v>
      </c>
      <c r="C13" s="34" t="s">
        <v>152</v>
      </c>
      <c r="D13" s="36">
        <v>1</v>
      </c>
      <c r="E13" s="37">
        <f t="array" aca="1" ref="E13" ca="1">MAX(IF(ISERR(FIND($A$5:$A$14,C13)),0,$F$5:$F$14))</f>
        <v>12</v>
      </c>
      <c r="F13" s="38">
        <f t="shared" ca="1" si="0"/>
        <v>13</v>
      </c>
      <c r="G13" s="37">
        <f t="shared" ca="1" si="1"/>
        <v>12</v>
      </c>
      <c r="H13" s="38" cm="1">
        <f t="array" aca="1" ref="H13" ca="1">MIN(IF(ISERR(FIND(A13,$C$5:$C$14)),MAX($F$5:$F$14),$G$5:$G$14))</f>
        <v>13</v>
      </c>
      <c r="I13" s="37">
        <f t="shared" ca="1" si="2"/>
        <v>0</v>
      </c>
    </row>
    <row r="14" spans="1:9" ht="13.5" thickBot="1" x14ac:dyDescent="0.35">
      <c r="A14" s="34" t="s">
        <v>140</v>
      </c>
      <c r="B14" s="35" t="s">
        <v>151</v>
      </c>
      <c r="C14" s="34" t="s">
        <v>139</v>
      </c>
      <c r="D14" s="36">
        <v>4</v>
      </c>
      <c r="E14" s="37">
        <f t="array" aca="1" ref="E14" ca="1">MAX(IF(ISERR(FIND($A$5:$A$14,C14)),0,$F$5:$F$14))</f>
        <v>13</v>
      </c>
      <c r="F14" s="38">
        <f t="shared" ca="1" si="0"/>
        <v>17</v>
      </c>
      <c r="G14" s="37">
        <f t="shared" ca="1" si="1"/>
        <v>13</v>
      </c>
      <c r="H14" s="38" cm="1">
        <f t="array" aca="1" ref="H14" ca="1">MIN(IF(ISERR(FIND(A14,$C$5:$C$14)),MAX($F$5:$F$14),$G$5:$G$14))</f>
        <v>17</v>
      </c>
      <c r="I14" s="37">
        <f t="shared" ca="1" si="2"/>
        <v>0</v>
      </c>
    </row>
    <row r="15" spans="1:9" ht="13" x14ac:dyDescent="0.3">
      <c r="A15" s="39"/>
      <c r="B15" s="39"/>
      <c r="C15" s="40" t="str">
        <f ca="1">IF(MIN(I5:I14)&lt;0,"Network Error","")</f>
        <v/>
      </c>
      <c r="D15" s="39"/>
      <c r="E15" s="39"/>
      <c r="F15" s="39"/>
      <c r="G15" s="39"/>
      <c r="H15" s="39"/>
      <c r="I15" s="39"/>
    </row>
    <row r="17" spans="1:10" ht="13" x14ac:dyDescent="0.3">
      <c r="A17" s="34"/>
      <c r="B17" s="34"/>
      <c r="C17" s="34"/>
    </row>
    <row r="20" spans="1:10" ht="13" x14ac:dyDescent="0.3">
      <c r="J20" s="34"/>
    </row>
  </sheetData>
  <conditionalFormatting sqref="A5:A14">
    <cfRule type="expression" dxfId="3" priority="1" stopIfTrue="1">
      <formula>I5=0</formula>
    </cfRule>
    <cfRule type="expression" dxfId="2" priority="2" stopIfTrue="1">
      <formula>I5&gt;0</formula>
    </cfRule>
  </conditionalFormatting>
  <conditionalFormatting sqref="I5:I14">
    <cfRule type="cellIs" dxfId="1" priority="3" stopIfTrue="1" operator="equal">
      <formula>0</formula>
    </cfRule>
    <cfRule type="cellIs" dxfId="0" priority="4" stopIfTrue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0E5972279A4A4AAE19E305FDBD43AB" ma:contentTypeVersion="4" ma:contentTypeDescription="Create a new document." ma:contentTypeScope="" ma:versionID="708af9841212330fcb74cd9e21e7b58d">
  <xsd:schema xmlns:xsd="http://www.w3.org/2001/XMLSchema" xmlns:xs="http://www.w3.org/2001/XMLSchema" xmlns:p="http://schemas.microsoft.com/office/2006/metadata/properties" xmlns:ns2="f7f0c6cf-10c2-45d2-b6bd-d11ceae9b933" targetNamespace="http://schemas.microsoft.com/office/2006/metadata/properties" ma:root="true" ma:fieldsID="c0b0646f19eb7008c9b0e7e6ad5334fa" ns2:_="">
    <xsd:import namespace="f7f0c6cf-10c2-45d2-b6bd-d11ceae9b9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f0c6cf-10c2-45d2-b6bd-d11ceae9b9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BD9DA9C-3C0D-42C0-9A31-4659E75421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D9D6C-16D9-41CD-9C9C-9DA81EC10E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f0c6cf-10c2-45d2-b6bd-d11ceae9b9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D84521-E31F-4859-B4FE-2CA0E0EDD74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f7f0c6cf-10c2-45d2-b6bd-d11ceae9b933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Guide to Sheets</vt:lpstr>
      <vt:lpstr>Influence Chart</vt:lpstr>
      <vt:lpstr>Assumptions</vt:lpstr>
      <vt:lpstr>Calculations</vt:lpstr>
      <vt:lpstr>Results</vt:lpstr>
      <vt:lpstr>Base-Case Analysis</vt:lpstr>
      <vt:lpstr>Break-Even Analysis</vt:lpstr>
      <vt:lpstr>What-If Scenario Summary</vt:lpstr>
      <vt:lpstr>Data</vt:lpstr>
      <vt:lpstr>Payoff Matrix</vt:lpstr>
      <vt:lpstr>Maximax</vt:lpstr>
      <vt:lpstr>Maximin</vt:lpstr>
      <vt:lpstr>Max Regret</vt:lpstr>
      <vt:lpstr>Expected Value</vt:lpstr>
      <vt:lpstr>Expected Regret</vt:lpstr>
      <vt:lpstr>Decision Tree</vt:lpstr>
      <vt:lpstr>CPM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Marisol Cerda</dc:creator>
  <cp:keywords/>
  <dc:description/>
  <cp:lastModifiedBy>Artemis Maddox</cp:lastModifiedBy>
  <cp:revision/>
  <dcterms:created xsi:type="dcterms:W3CDTF">2003-12-02T23:21:31Z</dcterms:created>
  <dcterms:modified xsi:type="dcterms:W3CDTF">2022-07-14T00:14:53Z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0x010100B60E5972279A4A4AAE19E305FDBD43AB</vt:lpwstr>
  </property>
</Properties>
</file>